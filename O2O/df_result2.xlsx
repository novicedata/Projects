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side\O2O\notebooks\"/>
    </mc:Choice>
  </mc:AlternateContent>
  <xr:revisionPtr revIDLastSave="0" documentId="13_ncr:1_{18C64412-2F2F-4AE7-A099-D271CBC64507}" xr6:coauthVersionLast="47" xr6:coauthVersionMax="47" xr10:uidLastSave="{00000000-0000-0000-0000-000000000000}"/>
  <bookViews>
    <workbookView xWindow="28680" yWindow="-135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L10" i="1"/>
  <c r="L36" i="1"/>
  <c r="L18" i="1"/>
  <c r="L8" i="1"/>
  <c r="L5" i="1"/>
  <c r="L13" i="1"/>
  <c r="L25" i="1"/>
  <c r="L28" i="1"/>
  <c r="L11" i="1"/>
  <c r="L4" i="1"/>
  <c r="L2" i="1"/>
  <c r="L37" i="1"/>
  <c r="L30" i="1"/>
  <c r="L22" i="1"/>
  <c r="L34" i="1"/>
  <c r="L26" i="1"/>
  <c r="L38" i="1"/>
  <c r="L21" i="1"/>
  <c r="L31" i="1"/>
  <c r="L20" i="1"/>
  <c r="L40" i="1"/>
  <c r="L3" i="1"/>
  <c r="L7" i="1"/>
  <c r="L42" i="1"/>
  <c r="L32" i="1"/>
  <c r="L27" i="1"/>
  <c r="L29" i="1"/>
  <c r="L14" i="1"/>
  <c r="L43" i="1"/>
  <c r="L9" i="1"/>
  <c r="L35" i="1"/>
  <c r="L23" i="1"/>
  <c r="L12" i="1"/>
  <c r="L15" i="1"/>
  <c r="L6" i="1"/>
  <c r="L44" i="1"/>
  <c r="L33" i="1"/>
  <c r="L24" i="1"/>
  <c r="L41" i="1"/>
  <c r="L39" i="1"/>
  <c r="L19" i="1"/>
  <c r="L16" i="1"/>
</calcChain>
</file>

<file path=xl/sharedStrings.xml><?xml version="1.0" encoding="utf-8"?>
<sst xmlns="http://schemas.openxmlformats.org/spreadsheetml/2006/main" count="414" uniqueCount="62">
  <si>
    <t>region_nm</t>
  </si>
  <si>
    <t>region_id</t>
  </si>
  <si>
    <t>business_day</t>
  </si>
  <si>
    <t>min_part2</t>
  </si>
  <si>
    <t>recom_cnt</t>
  </si>
  <si>
    <t>recom_successed_cnt</t>
  </si>
  <si>
    <t>recom_failed_cnt</t>
  </si>
  <si>
    <t>non_rec_cnt</t>
  </si>
  <si>
    <t>cnt_accept</t>
  </si>
  <si>
    <t>call_ov_LV</t>
  </si>
  <si>
    <t>원주</t>
  </si>
  <si>
    <t>2025.4.9</t>
  </si>
  <si>
    <t>13:00:00</t>
  </si>
  <si>
    <t>13:30:00</t>
  </si>
  <si>
    <t>10:00:00</t>
  </si>
  <si>
    <t>23:00:00</t>
  </si>
  <si>
    <t>14:00:00</t>
  </si>
  <si>
    <t>09:00:00</t>
  </si>
  <si>
    <t>07:30:00</t>
  </si>
  <si>
    <t>11:30:00</t>
  </si>
  <si>
    <t>17:30:00</t>
  </si>
  <si>
    <t>19:00:00</t>
  </si>
  <si>
    <t>10:30:00</t>
  </si>
  <si>
    <t>07:00:00</t>
  </si>
  <si>
    <t>06:00:00</t>
  </si>
  <si>
    <t>23:30:00</t>
  </si>
  <si>
    <t>20:00:00</t>
  </si>
  <si>
    <t>16:00:00</t>
  </si>
  <si>
    <t>22:00:00</t>
  </si>
  <si>
    <t>18:00:00</t>
  </si>
  <si>
    <t>24:00:00</t>
  </si>
  <si>
    <t>15:30:00</t>
  </si>
  <si>
    <t>20:30:00</t>
  </si>
  <si>
    <t>15:00:00</t>
  </si>
  <si>
    <t>25:00:00</t>
  </si>
  <si>
    <t>06:30:00</t>
  </si>
  <si>
    <t>08:30:00</t>
  </si>
  <si>
    <t>26:00:00</t>
  </si>
  <si>
    <t>21:00:00</t>
  </si>
  <si>
    <t>18:30:00</t>
  </si>
  <si>
    <t>19:30:00</t>
  </si>
  <si>
    <t>12:00:00</t>
  </si>
  <si>
    <t>26:30:00</t>
  </si>
  <si>
    <t>09:30:00</t>
  </si>
  <si>
    <t>22:30:00</t>
  </si>
  <si>
    <t>16:30:00</t>
  </si>
  <si>
    <t>11:00:00</t>
  </si>
  <si>
    <t>12:30:00</t>
  </si>
  <si>
    <t>08:00:00</t>
  </si>
  <si>
    <t>27:00:00</t>
  </si>
  <si>
    <t>21:30:00</t>
  </si>
  <si>
    <t>17:00:00</t>
  </si>
  <si>
    <t>25:30:00</t>
  </si>
  <si>
    <t>24:30:00</t>
  </si>
  <si>
    <t>14:30:00</t>
  </si>
  <si>
    <t>partition_date</t>
  </si>
  <si>
    <t>min_part</t>
  </si>
  <si>
    <t>rec_regist_diff</t>
  </si>
  <si>
    <t>원주</t>
    <phoneticPr fontId="2" type="noConversion"/>
  </si>
  <si>
    <t>추천 성공률</t>
    <phoneticPr fontId="2" type="noConversion"/>
  </si>
  <si>
    <t>콜수요초과LV</t>
    <phoneticPr fontId="2" type="noConversion"/>
  </si>
  <si>
    <t>콜배차소요시간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</si>
</sst>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;[Red]\-0\ "/>
    <numFmt numFmtId="178" formatCode="0.0_ ;[Red]\-0.0\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7" fontId="1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2" borderId="0" xfId="0" applyNumberFormat="1" applyFill="1" applyAlignment="1">
      <alignment vertical="center"/>
    </xf>
    <xf numFmtId="178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추천성공률 </a:t>
            </a:r>
            <a:r>
              <a:rPr lang="en-US" altLang="ko-KR"/>
              <a:t>vs </a:t>
            </a:r>
            <a:r>
              <a:rPr lang="ko-KR" altLang="en-US"/>
              <a:t>콜수요초과</a:t>
            </a:r>
            <a:r>
              <a:rPr lang="en-US" altLang="ko-KR"/>
              <a:t>LV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min_part2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Sheet2!$F$2:$F$45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F-4946-A76F-F353ECF818EC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추천 성공률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Sheet2!$G$2:$G$45</c:f>
              <c:numCache>
                <c:formatCode>0.0_ ;[Red]\-0.0\ </c:formatCode>
                <c:ptCount val="44"/>
                <c:pt idx="0">
                  <c:v>33.333333333333343</c:v>
                </c:pt>
                <c:pt idx="1">
                  <c:v>68.75</c:v>
                </c:pt>
                <c:pt idx="2">
                  <c:v>67.647058823529406</c:v>
                </c:pt>
                <c:pt idx="3">
                  <c:v>66.666666666666671</c:v>
                </c:pt>
                <c:pt idx="4">
                  <c:v>52.173913043478258</c:v>
                </c:pt>
                <c:pt idx="5">
                  <c:v>48.275862068965523</c:v>
                </c:pt>
                <c:pt idx="6">
                  <c:v>65.573770491803273</c:v>
                </c:pt>
                <c:pt idx="7">
                  <c:v>59.171597633136088</c:v>
                </c:pt>
                <c:pt idx="8">
                  <c:v>43.109540636042396</c:v>
                </c:pt>
                <c:pt idx="9">
                  <c:v>55.172413793103438</c:v>
                </c:pt>
                <c:pt idx="10">
                  <c:v>47.527472527472533</c:v>
                </c:pt>
                <c:pt idx="11">
                  <c:v>48.587570621468927</c:v>
                </c:pt>
                <c:pt idx="12">
                  <c:v>54.954954954954957</c:v>
                </c:pt>
                <c:pt idx="13">
                  <c:v>55.158730158730158</c:v>
                </c:pt>
                <c:pt idx="14">
                  <c:v>56.198347107438018</c:v>
                </c:pt>
                <c:pt idx="15">
                  <c:v>47.747747747747738</c:v>
                </c:pt>
                <c:pt idx="16">
                  <c:v>58.544303797468352</c:v>
                </c:pt>
                <c:pt idx="17">
                  <c:v>51.19825708061002</c:v>
                </c:pt>
                <c:pt idx="18">
                  <c:v>58.45272206303725</c:v>
                </c:pt>
                <c:pt idx="19">
                  <c:v>46.407766990291258</c:v>
                </c:pt>
                <c:pt idx="20">
                  <c:v>54.166666666666657</c:v>
                </c:pt>
                <c:pt idx="21">
                  <c:v>49.705014749262538</c:v>
                </c:pt>
                <c:pt idx="22">
                  <c:v>49.528795811518322</c:v>
                </c:pt>
                <c:pt idx="23">
                  <c:v>43.011332973556392</c:v>
                </c:pt>
                <c:pt idx="24">
                  <c:v>40.069466371960843</c:v>
                </c:pt>
                <c:pt idx="25">
                  <c:v>36.36777423759672</c:v>
                </c:pt>
                <c:pt idx="26">
                  <c:v>44.609665427509292</c:v>
                </c:pt>
                <c:pt idx="27">
                  <c:v>45.059493016037251</c:v>
                </c:pt>
                <c:pt idx="28">
                  <c:v>48.660084626234131</c:v>
                </c:pt>
                <c:pt idx="29">
                  <c:v>47.271126760563376</c:v>
                </c:pt>
                <c:pt idx="30">
                  <c:v>54.12719891745602</c:v>
                </c:pt>
                <c:pt idx="31">
                  <c:v>47.092360319270242</c:v>
                </c:pt>
                <c:pt idx="32">
                  <c:v>48.711340206185568</c:v>
                </c:pt>
                <c:pt idx="33">
                  <c:v>46.666666666666657</c:v>
                </c:pt>
                <c:pt idx="34">
                  <c:v>44.869565217391298</c:v>
                </c:pt>
                <c:pt idx="35">
                  <c:v>40.27237354085603</c:v>
                </c:pt>
                <c:pt idx="36">
                  <c:v>48.927038626609438</c:v>
                </c:pt>
                <c:pt idx="37">
                  <c:v>62.820512820512818</c:v>
                </c:pt>
                <c:pt idx="38">
                  <c:v>57.333333333333343</c:v>
                </c:pt>
                <c:pt idx="39">
                  <c:v>41.176470588235297</c:v>
                </c:pt>
                <c:pt idx="40">
                  <c:v>52.272727272727273</c:v>
                </c:pt>
                <c:pt idx="41">
                  <c:v>68.253968253968253</c:v>
                </c:pt>
                <c:pt idx="42">
                  <c:v>61.904761904761912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F-4946-A76F-F353ECF81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301472"/>
        <c:axId val="1656299552"/>
      </c:lineChart>
      <c:lineChart>
        <c:grouping val="standard"/>
        <c:varyColors val="0"/>
        <c:ser>
          <c:idx val="2"/>
          <c:order val="2"/>
          <c:tx>
            <c:strRef>
              <c:f>Sheet2!$H$1</c:f>
              <c:strCache>
                <c:ptCount val="1"/>
                <c:pt idx="0">
                  <c:v>콜수요초과LV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Sheet2!$H$2:$H$45</c:f>
              <c:numCache>
                <c:formatCode>0.0_ ;[Red]\-0.0\ </c:formatCode>
                <c:ptCount val="44"/>
                <c:pt idx="0">
                  <c:v>2.4666666666666668</c:v>
                </c:pt>
                <c:pt idx="1">
                  <c:v>3.4666666666666668</c:v>
                </c:pt>
                <c:pt idx="2">
                  <c:v>2.7333333333333329</c:v>
                </c:pt>
                <c:pt idx="3">
                  <c:v>3.5</c:v>
                </c:pt>
                <c:pt idx="4">
                  <c:v>3.166666666666667</c:v>
                </c:pt>
                <c:pt idx="5">
                  <c:v>3.0666666666666669</c:v>
                </c:pt>
                <c:pt idx="6">
                  <c:v>1.9333333333333329</c:v>
                </c:pt>
                <c:pt idx="7">
                  <c:v>3.666666666666667</c:v>
                </c:pt>
                <c:pt idx="8">
                  <c:v>4.0333333333333332</c:v>
                </c:pt>
                <c:pt idx="9">
                  <c:v>3.3</c:v>
                </c:pt>
                <c:pt idx="10">
                  <c:v>3.333333333333333</c:v>
                </c:pt>
                <c:pt idx="11">
                  <c:v>2.9</c:v>
                </c:pt>
                <c:pt idx="12">
                  <c:v>1.033333333333333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4.1333333333333337</c:v>
                </c:pt>
                <c:pt idx="19">
                  <c:v>3.833333333333333</c:v>
                </c:pt>
                <c:pt idx="20">
                  <c:v>3.8</c:v>
                </c:pt>
                <c:pt idx="21">
                  <c:v>1.9333333333333329</c:v>
                </c:pt>
                <c:pt idx="22">
                  <c:v>3.1333333333333329</c:v>
                </c:pt>
                <c:pt idx="23">
                  <c:v>2.8</c:v>
                </c:pt>
                <c:pt idx="24">
                  <c:v>2</c:v>
                </c:pt>
                <c:pt idx="25">
                  <c:v>1.666666666666667</c:v>
                </c:pt>
                <c:pt idx="26">
                  <c:v>1.466666666666667</c:v>
                </c:pt>
                <c:pt idx="27">
                  <c:v>1.4</c:v>
                </c:pt>
                <c:pt idx="28">
                  <c:v>3.1333333333333329</c:v>
                </c:pt>
                <c:pt idx="29">
                  <c:v>2.2999999999999998</c:v>
                </c:pt>
                <c:pt idx="30">
                  <c:v>1.833333333333333</c:v>
                </c:pt>
                <c:pt idx="31">
                  <c:v>1.166666666666667</c:v>
                </c:pt>
                <c:pt idx="32">
                  <c:v>1.5</c:v>
                </c:pt>
                <c:pt idx="33">
                  <c:v>1.166666666666667</c:v>
                </c:pt>
                <c:pt idx="34">
                  <c:v>1</c:v>
                </c:pt>
                <c:pt idx="35">
                  <c:v>1.0666666666666671</c:v>
                </c:pt>
                <c:pt idx="36">
                  <c:v>1.1333333333333331</c:v>
                </c:pt>
                <c:pt idx="37">
                  <c:v>1.5666666666666671</c:v>
                </c:pt>
                <c:pt idx="38">
                  <c:v>1.8</c:v>
                </c:pt>
                <c:pt idx="39">
                  <c:v>2.2999999999999998</c:v>
                </c:pt>
                <c:pt idx="40">
                  <c:v>3.2</c:v>
                </c:pt>
                <c:pt idx="41">
                  <c:v>4.7333333333333334</c:v>
                </c:pt>
                <c:pt idx="42">
                  <c:v>5.7333333333333334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3F-4946-A76F-F353ECF81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913024"/>
        <c:axId val="1646913984"/>
      </c:lineChart>
      <c:catAx>
        <c:axId val="1656301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6299552"/>
        <c:crosses val="autoZero"/>
        <c:auto val="1"/>
        <c:lblAlgn val="ctr"/>
        <c:lblOffset val="100"/>
        <c:noMultiLvlLbl val="0"/>
      </c:catAx>
      <c:valAx>
        <c:axId val="16562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6301472"/>
        <c:crosses val="autoZero"/>
        <c:crossBetween val="between"/>
      </c:valAx>
      <c:valAx>
        <c:axId val="1646913984"/>
        <c:scaling>
          <c:orientation val="minMax"/>
        </c:scaling>
        <c:delete val="0"/>
        <c:axPos val="r"/>
        <c:numFmt formatCode="0.0_ ;[Red]\-0.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6913024"/>
        <c:crosses val="max"/>
        <c:crossBetween val="between"/>
      </c:valAx>
      <c:catAx>
        <c:axId val="1646913024"/>
        <c:scaling>
          <c:orientation val="minMax"/>
        </c:scaling>
        <c:delete val="1"/>
        <c:axPos val="b"/>
        <c:majorTickMark val="out"/>
        <c:minorTickMark val="none"/>
        <c:tickLblPos val="nextTo"/>
        <c:crossAx val="1646913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콜수요초과</a:t>
            </a: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LV vs </a:t>
            </a: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콜배차소요시간</a:t>
            </a:r>
            <a:endParaRPr lang="en-US" altLang="ko-K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min_part2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Sheet2!$A$2:$A$45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4-4838-9515-065406CCB120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콜배차소요시간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Sheet2!$C$2:$C$45</c:f>
              <c:numCache>
                <c:formatCode>0.0_ </c:formatCode>
                <c:ptCount val="44"/>
                <c:pt idx="0">
                  <c:v>13.71428571428571</c:v>
                </c:pt>
                <c:pt idx="1">
                  <c:v>16.375</c:v>
                </c:pt>
                <c:pt idx="2">
                  <c:v>10</c:v>
                </c:pt>
                <c:pt idx="3">
                  <c:v>8.2941176470588243</c:v>
                </c:pt>
                <c:pt idx="4">
                  <c:v>7.5405405405405403</c:v>
                </c:pt>
                <c:pt idx="5">
                  <c:v>8.4909090909090903</c:v>
                </c:pt>
                <c:pt idx="6">
                  <c:v>10.492537313432839</c:v>
                </c:pt>
                <c:pt idx="7">
                  <c:v>8</c:v>
                </c:pt>
                <c:pt idx="8">
                  <c:v>9.116504854368932</c:v>
                </c:pt>
                <c:pt idx="9">
                  <c:v>7.3017751479289954</c:v>
                </c:pt>
                <c:pt idx="10">
                  <c:v>8.094736842105263</c:v>
                </c:pt>
                <c:pt idx="11">
                  <c:v>7.5894308943089426</c:v>
                </c:pt>
                <c:pt idx="12">
                  <c:v>7.7283950617283947</c:v>
                </c:pt>
                <c:pt idx="13">
                  <c:v>7.0142180094786726</c:v>
                </c:pt>
                <c:pt idx="14">
                  <c:v>7.583333333333333</c:v>
                </c:pt>
                <c:pt idx="15">
                  <c:v>7.1851851851851851</c:v>
                </c:pt>
                <c:pt idx="16">
                  <c:v>7.1140939597315436</c:v>
                </c:pt>
                <c:pt idx="17">
                  <c:v>7.5419354838709678</c:v>
                </c:pt>
                <c:pt idx="18">
                  <c:v>7.580645161290323</c:v>
                </c:pt>
                <c:pt idx="19">
                  <c:v>7.9245283018867916</c:v>
                </c:pt>
                <c:pt idx="20">
                  <c:v>7.6464088397790064</c:v>
                </c:pt>
                <c:pt idx="21">
                  <c:v>7.6840000000000002</c:v>
                </c:pt>
                <c:pt idx="22">
                  <c:v>8.3403141361256541</c:v>
                </c:pt>
                <c:pt idx="23">
                  <c:v>8.7688172043010759</c:v>
                </c:pt>
                <c:pt idx="24">
                  <c:v>9.5891812865497084</c:v>
                </c:pt>
                <c:pt idx="25">
                  <c:v>9.9300476947535774</c:v>
                </c:pt>
                <c:pt idx="26">
                  <c:v>9.2888888888888896</c:v>
                </c:pt>
                <c:pt idx="27">
                  <c:v>8.16796875</c:v>
                </c:pt>
                <c:pt idx="28">
                  <c:v>9.1124121779859486</c:v>
                </c:pt>
                <c:pt idx="29">
                  <c:v>7.8557692307692308</c:v>
                </c:pt>
                <c:pt idx="30">
                  <c:v>8.6082802547770694</c:v>
                </c:pt>
                <c:pt idx="31">
                  <c:v>9.0283687943262407</c:v>
                </c:pt>
                <c:pt idx="32">
                  <c:v>9.01</c:v>
                </c:pt>
                <c:pt idx="33">
                  <c:v>8.5560975609756103</c:v>
                </c:pt>
                <c:pt idx="34">
                  <c:v>9.5465838509316772</c:v>
                </c:pt>
                <c:pt idx="35">
                  <c:v>8.7043478260869573</c:v>
                </c:pt>
                <c:pt idx="36">
                  <c:v>10.410256410256411</c:v>
                </c:pt>
                <c:pt idx="37">
                  <c:v>10.514285714285711</c:v>
                </c:pt>
                <c:pt idx="38">
                  <c:v>10.898305084745759</c:v>
                </c:pt>
                <c:pt idx="39">
                  <c:v>13.69230769230769</c:v>
                </c:pt>
                <c:pt idx="40">
                  <c:v>13.025</c:v>
                </c:pt>
                <c:pt idx="41">
                  <c:v>9.24</c:v>
                </c:pt>
                <c:pt idx="4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4-4838-9515-065406CCB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770960"/>
        <c:axId val="1658125792"/>
      </c:lineChart>
      <c:lineChart>
        <c:grouping val="standard"/>
        <c:varyColors val="0"/>
        <c:ser>
          <c:idx val="1"/>
          <c:order val="1"/>
          <c:tx>
            <c:strRef>
              <c:f>Sheet2!$B$1</c:f>
              <c:strCache>
                <c:ptCount val="1"/>
                <c:pt idx="0">
                  <c:v>콜수요초과LV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Sheet2!$B$2:$B$45</c:f>
              <c:numCache>
                <c:formatCode>0.0_ ;[Red]\-0.0\ </c:formatCode>
                <c:ptCount val="44"/>
                <c:pt idx="0">
                  <c:v>2.4666666666666668</c:v>
                </c:pt>
                <c:pt idx="1">
                  <c:v>3.4666666666666668</c:v>
                </c:pt>
                <c:pt idx="2">
                  <c:v>2.7333333333333329</c:v>
                </c:pt>
                <c:pt idx="3">
                  <c:v>3.5</c:v>
                </c:pt>
                <c:pt idx="4">
                  <c:v>3.166666666666667</c:v>
                </c:pt>
                <c:pt idx="5">
                  <c:v>3.0666666666666669</c:v>
                </c:pt>
                <c:pt idx="6">
                  <c:v>1.9333333333333329</c:v>
                </c:pt>
                <c:pt idx="7">
                  <c:v>3.666666666666667</c:v>
                </c:pt>
                <c:pt idx="8">
                  <c:v>4.0333333333333332</c:v>
                </c:pt>
                <c:pt idx="9">
                  <c:v>3.3</c:v>
                </c:pt>
                <c:pt idx="10">
                  <c:v>3.333333333333333</c:v>
                </c:pt>
                <c:pt idx="11">
                  <c:v>2.9</c:v>
                </c:pt>
                <c:pt idx="12">
                  <c:v>1.033333333333333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4.1333333333333337</c:v>
                </c:pt>
                <c:pt idx="19">
                  <c:v>3.833333333333333</c:v>
                </c:pt>
                <c:pt idx="20">
                  <c:v>3.8</c:v>
                </c:pt>
                <c:pt idx="21">
                  <c:v>1.9333333333333329</c:v>
                </c:pt>
                <c:pt idx="22">
                  <c:v>3.1333333333333329</c:v>
                </c:pt>
                <c:pt idx="23">
                  <c:v>2.8</c:v>
                </c:pt>
                <c:pt idx="24">
                  <c:v>2</c:v>
                </c:pt>
                <c:pt idx="25">
                  <c:v>1.666666666666667</c:v>
                </c:pt>
                <c:pt idx="26">
                  <c:v>1.466666666666667</c:v>
                </c:pt>
                <c:pt idx="27">
                  <c:v>1.4</c:v>
                </c:pt>
                <c:pt idx="28">
                  <c:v>3.1333333333333329</c:v>
                </c:pt>
                <c:pt idx="29">
                  <c:v>2.2999999999999998</c:v>
                </c:pt>
                <c:pt idx="30">
                  <c:v>1.833333333333333</c:v>
                </c:pt>
                <c:pt idx="31">
                  <c:v>1.166666666666667</c:v>
                </c:pt>
                <c:pt idx="32">
                  <c:v>1.5</c:v>
                </c:pt>
                <c:pt idx="33">
                  <c:v>1.166666666666667</c:v>
                </c:pt>
                <c:pt idx="34">
                  <c:v>1</c:v>
                </c:pt>
                <c:pt idx="35">
                  <c:v>1.0666666666666671</c:v>
                </c:pt>
                <c:pt idx="36">
                  <c:v>1.1333333333333331</c:v>
                </c:pt>
                <c:pt idx="37">
                  <c:v>1.5666666666666671</c:v>
                </c:pt>
                <c:pt idx="38">
                  <c:v>1.8</c:v>
                </c:pt>
                <c:pt idx="39">
                  <c:v>2.2999999999999998</c:v>
                </c:pt>
                <c:pt idx="40">
                  <c:v>3.2</c:v>
                </c:pt>
                <c:pt idx="41">
                  <c:v>4.7333333333333334</c:v>
                </c:pt>
                <c:pt idx="42">
                  <c:v>5.7333333333333334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4-4838-9515-065406CCB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914944"/>
        <c:axId val="1505664832"/>
      </c:lineChart>
      <c:catAx>
        <c:axId val="1654770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8125792"/>
        <c:crosses val="autoZero"/>
        <c:auto val="1"/>
        <c:lblAlgn val="ctr"/>
        <c:lblOffset val="100"/>
        <c:noMultiLvlLbl val="0"/>
      </c:catAx>
      <c:valAx>
        <c:axId val="165812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4770960"/>
        <c:crosses val="autoZero"/>
        <c:crossBetween val="between"/>
      </c:valAx>
      <c:valAx>
        <c:axId val="1505664832"/>
        <c:scaling>
          <c:orientation val="minMax"/>
        </c:scaling>
        <c:delete val="0"/>
        <c:axPos val="r"/>
        <c:numFmt formatCode="0.0_ ;[Red]\-0.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6914944"/>
        <c:crosses val="max"/>
        <c:crossBetween val="between"/>
      </c:valAx>
      <c:catAx>
        <c:axId val="16469149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05664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추천성공률 </a:t>
            </a:r>
            <a:r>
              <a:rPr lang="en-US" altLang="ko-KR"/>
              <a:t>vs </a:t>
            </a:r>
            <a:r>
              <a:rPr lang="ko-KR" altLang="en-US"/>
              <a:t>콜배차 소요시간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Sheet2!$L$1</c:f>
              <c:strCache>
                <c:ptCount val="1"/>
                <c:pt idx="0">
                  <c:v>추천 성공률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Sheet2!$L$2:$L$45</c:f>
              <c:numCache>
                <c:formatCode>0.0_ ;[Red]\-0.0\ </c:formatCode>
                <c:ptCount val="44"/>
                <c:pt idx="0">
                  <c:v>33.333333333333343</c:v>
                </c:pt>
                <c:pt idx="1">
                  <c:v>68.75</c:v>
                </c:pt>
                <c:pt idx="2">
                  <c:v>67.647058823529406</c:v>
                </c:pt>
                <c:pt idx="3">
                  <c:v>66.666666666666671</c:v>
                </c:pt>
                <c:pt idx="4">
                  <c:v>52.173913043478258</c:v>
                </c:pt>
                <c:pt idx="5">
                  <c:v>48.275862068965523</c:v>
                </c:pt>
                <c:pt idx="6">
                  <c:v>65.573770491803273</c:v>
                </c:pt>
                <c:pt idx="7">
                  <c:v>59.171597633136088</c:v>
                </c:pt>
                <c:pt idx="8">
                  <c:v>43.109540636042396</c:v>
                </c:pt>
                <c:pt idx="9">
                  <c:v>55.172413793103438</c:v>
                </c:pt>
                <c:pt idx="10">
                  <c:v>47.527472527472533</c:v>
                </c:pt>
                <c:pt idx="11">
                  <c:v>48.587570621468927</c:v>
                </c:pt>
                <c:pt idx="12">
                  <c:v>54.954954954954957</c:v>
                </c:pt>
                <c:pt idx="13">
                  <c:v>55.158730158730158</c:v>
                </c:pt>
                <c:pt idx="14">
                  <c:v>56.198347107438018</c:v>
                </c:pt>
                <c:pt idx="15">
                  <c:v>47.747747747747738</c:v>
                </c:pt>
                <c:pt idx="16">
                  <c:v>58.544303797468352</c:v>
                </c:pt>
                <c:pt idx="17">
                  <c:v>51.19825708061002</c:v>
                </c:pt>
                <c:pt idx="18">
                  <c:v>58.45272206303725</c:v>
                </c:pt>
                <c:pt idx="19">
                  <c:v>46.407766990291258</c:v>
                </c:pt>
                <c:pt idx="20">
                  <c:v>54.166666666666657</c:v>
                </c:pt>
                <c:pt idx="21">
                  <c:v>49.705014749262538</c:v>
                </c:pt>
                <c:pt idx="22">
                  <c:v>49.528795811518322</c:v>
                </c:pt>
                <c:pt idx="23">
                  <c:v>43.011332973556392</c:v>
                </c:pt>
                <c:pt idx="24">
                  <c:v>40.069466371960843</c:v>
                </c:pt>
                <c:pt idx="25">
                  <c:v>36.36777423759672</c:v>
                </c:pt>
                <c:pt idx="26">
                  <c:v>44.609665427509292</c:v>
                </c:pt>
                <c:pt idx="27">
                  <c:v>45.059493016037251</c:v>
                </c:pt>
                <c:pt idx="28">
                  <c:v>48.660084626234131</c:v>
                </c:pt>
                <c:pt idx="29">
                  <c:v>47.271126760563376</c:v>
                </c:pt>
                <c:pt idx="30">
                  <c:v>54.12719891745602</c:v>
                </c:pt>
                <c:pt idx="31">
                  <c:v>47.092360319270242</c:v>
                </c:pt>
                <c:pt idx="32">
                  <c:v>48.711340206185568</c:v>
                </c:pt>
                <c:pt idx="33">
                  <c:v>46.666666666666657</c:v>
                </c:pt>
                <c:pt idx="34">
                  <c:v>44.869565217391298</c:v>
                </c:pt>
                <c:pt idx="35">
                  <c:v>40.27237354085603</c:v>
                </c:pt>
                <c:pt idx="36">
                  <c:v>48.927038626609438</c:v>
                </c:pt>
                <c:pt idx="37">
                  <c:v>62.820512820512818</c:v>
                </c:pt>
                <c:pt idx="38">
                  <c:v>57.333333333333343</c:v>
                </c:pt>
                <c:pt idx="39">
                  <c:v>41.176470588235297</c:v>
                </c:pt>
                <c:pt idx="40">
                  <c:v>52.272727272727273</c:v>
                </c:pt>
                <c:pt idx="41">
                  <c:v>68.253968253968253</c:v>
                </c:pt>
                <c:pt idx="42">
                  <c:v>61.904761904761912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1-4981-A380-679FE5268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3028992"/>
        <c:axId val="1273026592"/>
      </c:lineChart>
      <c:lineChart>
        <c:grouping val="standard"/>
        <c:varyColors val="0"/>
        <c:ser>
          <c:idx val="1"/>
          <c:order val="1"/>
          <c:tx>
            <c:strRef>
              <c:f>Sheet2!$M$1</c:f>
              <c:strCache>
                <c:ptCount val="1"/>
                <c:pt idx="0">
                  <c:v>콜배차소요시간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Sheet2!$M$2:$M$45</c:f>
              <c:numCache>
                <c:formatCode>0.0_ </c:formatCode>
                <c:ptCount val="44"/>
                <c:pt idx="0">
                  <c:v>13.71428571428571</c:v>
                </c:pt>
                <c:pt idx="1">
                  <c:v>16.375</c:v>
                </c:pt>
                <c:pt idx="2">
                  <c:v>10</c:v>
                </c:pt>
                <c:pt idx="3">
                  <c:v>8.2941176470588243</c:v>
                </c:pt>
                <c:pt idx="4">
                  <c:v>7.5405405405405403</c:v>
                </c:pt>
                <c:pt idx="5">
                  <c:v>8.4909090909090903</c:v>
                </c:pt>
                <c:pt idx="6">
                  <c:v>10.492537313432839</c:v>
                </c:pt>
                <c:pt idx="7">
                  <c:v>8</c:v>
                </c:pt>
                <c:pt idx="8">
                  <c:v>9.116504854368932</c:v>
                </c:pt>
                <c:pt idx="9">
                  <c:v>7.3017751479289954</c:v>
                </c:pt>
                <c:pt idx="10">
                  <c:v>8.094736842105263</c:v>
                </c:pt>
                <c:pt idx="11">
                  <c:v>7.5894308943089426</c:v>
                </c:pt>
                <c:pt idx="12">
                  <c:v>7.7283950617283947</c:v>
                </c:pt>
                <c:pt idx="13">
                  <c:v>7.0142180094786726</c:v>
                </c:pt>
                <c:pt idx="14">
                  <c:v>7.583333333333333</c:v>
                </c:pt>
                <c:pt idx="15">
                  <c:v>7.1851851851851851</c:v>
                </c:pt>
                <c:pt idx="16">
                  <c:v>7.1140939597315436</c:v>
                </c:pt>
                <c:pt idx="17">
                  <c:v>7.5419354838709678</c:v>
                </c:pt>
                <c:pt idx="18">
                  <c:v>7.580645161290323</c:v>
                </c:pt>
                <c:pt idx="19">
                  <c:v>7.9245283018867916</c:v>
                </c:pt>
                <c:pt idx="20">
                  <c:v>7.6464088397790064</c:v>
                </c:pt>
                <c:pt idx="21">
                  <c:v>7.6840000000000002</c:v>
                </c:pt>
                <c:pt idx="22">
                  <c:v>8.3403141361256541</c:v>
                </c:pt>
                <c:pt idx="23">
                  <c:v>8.7688172043010759</c:v>
                </c:pt>
                <c:pt idx="24">
                  <c:v>9.5891812865497084</c:v>
                </c:pt>
                <c:pt idx="25">
                  <c:v>9.9300476947535774</c:v>
                </c:pt>
                <c:pt idx="26">
                  <c:v>9.2888888888888896</c:v>
                </c:pt>
                <c:pt idx="27">
                  <c:v>8.16796875</c:v>
                </c:pt>
                <c:pt idx="28">
                  <c:v>9.1124121779859486</c:v>
                </c:pt>
                <c:pt idx="29">
                  <c:v>7.8557692307692308</c:v>
                </c:pt>
                <c:pt idx="30">
                  <c:v>8.6082802547770694</c:v>
                </c:pt>
                <c:pt idx="31">
                  <c:v>9.0283687943262407</c:v>
                </c:pt>
                <c:pt idx="32">
                  <c:v>9.01</c:v>
                </c:pt>
                <c:pt idx="33">
                  <c:v>8.5560975609756103</c:v>
                </c:pt>
                <c:pt idx="34">
                  <c:v>9.5465838509316772</c:v>
                </c:pt>
                <c:pt idx="35">
                  <c:v>8.7043478260869573</c:v>
                </c:pt>
                <c:pt idx="36">
                  <c:v>10.410256410256411</c:v>
                </c:pt>
                <c:pt idx="37">
                  <c:v>10.514285714285711</c:v>
                </c:pt>
                <c:pt idx="38">
                  <c:v>10.898305084745759</c:v>
                </c:pt>
                <c:pt idx="39">
                  <c:v>13.69230769230769</c:v>
                </c:pt>
                <c:pt idx="40">
                  <c:v>13.025</c:v>
                </c:pt>
                <c:pt idx="41">
                  <c:v>9.24</c:v>
                </c:pt>
                <c:pt idx="4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61-4981-A380-679FE5268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513776"/>
        <c:axId val="1008395776"/>
      </c:lineChart>
      <c:catAx>
        <c:axId val="127302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3026592"/>
        <c:crosses val="autoZero"/>
        <c:auto val="1"/>
        <c:lblAlgn val="ctr"/>
        <c:lblOffset val="100"/>
        <c:noMultiLvlLbl val="0"/>
      </c:catAx>
      <c:valAx>
        <c:axId val="12730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;[Red]\-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3028992"/>
        <c:crosses val="autoZero"/>
        <c:crossBetween val="between"/>
      </c:valAx>
      <c:valAx>
        <c:axId val="1008395776"/>
        <c:scaling>
          <c:orientation val="minMax"/>
        </c:scaling>
        <c:delete val="0"/>
        <c:axPos val="r"/>
        <c:numFmt formatCode="0.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5513776"/>
        <c:crosses val="max"/>
        <c:crossBetween val="between"/>
      </c:valAx>
      <c:catAx>
        <c:axId val="15055137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395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551891</xdr:colOff>
      <xdr:row>16</xdr:row>
      <xdr:rowOff>143436</xdr:rowOff>
    </xdr:from>
    <xdr:to>
      <xdr:col>24</xdr:col>
      <xdr:colOff>235324</xdr:colOff>
      <xdr:row>35</xdr:row>
      <xdr:rowOff>44823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2B55F90-FFFC-7CD2-B82D-C012575E1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608479</xdr:colOff>
      <xdr:row>0</xdr:row>
      <xdr:rowOff>75639</xdr:rowOff>
    </xdr:from>
    <xdr:to>
      <xdr:col>24</xdr:col>
      <xdr:colOff>291352</xdr:colOff>
      <xdr:row>16</xdr:row>
      <xdr:rowOff>123264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C0B8760-5F67-9773-3B48-45151EDF7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543484</xdr:colOff>
      <xdr:row>35</xdr:row>
      <xdr:rowOff>85164</xdr:rowOff>
    </xdr:from>
    <xdr:to>
      <xdr:col>24</xdr:col>
      <xdr:colOff>224118</xdr:colOff>
      <xdr:row>53</xdr:row>
      <xdr:rowOff>11206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6EED597-5D86-3705-8B98-10B89478F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zoomScale="85" zoomScaleNormal="85" workbookViewId="0">
      <selection activeCell="K1" sqref="K1:K1048576"/>
    </sheetView>
  </sheetViews>
  <sheetFormatPr defaultRowHeight="16.5" x14ac:dyDescent="0.3"/>
  <cols>
    <col min="1" max="4" width="9" style="2"/>
    <col min="5" max="9" width="9" style="8"/>
    <col min="10" max="10" width="9" style="13"/>
    <col min="11" max="11" width="9" style="14"/>
    <col min="12" max="12" width="9" style="2"/>
    <col min="13" max="13" width="9" style="2" customWidth="1"/>
    <col min="14" max="17" width="9" style="2"/>
    <col min="18" max="19" width="9" style="14"/>
    <col min="20" max="16384" width="9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9" t="s">
        <v>59</v>
      </c>
      <c r="K1" s="10" t="s">
        <v>60</v>
      </c>
      <c r="L1" s="4" t="s">
        <v>61</v>
      </c>
      <c r="M1" s="3"/>
      <c r="N1" s="1" t="s">
        <v>55</v>
      </c>
      <c r="O1" s="1" t="s">
        <v>56</v>
      </c>
      <c r="P1" s="1" t="s">
        <v>0</v>
      </c>
      <c r="Q1" s="1" t="s">
        <v>1</v>
      </c>
      <c r="R1" s="10" t="s">
        <v>57</v>
      </c>
      <c r="S1" s="10" t="s">
        <v>9</v>
      </c>
    </row>
    <row r="2" spans="1:19" x14ac:dyDescent="0.3">
      <c r="A2" s="3" t="s">
        <v>10</v>
      </c>
      <c r="B2" s="3">
        <v>6363</v>
      </c>
      <c r="C2" s="3" t="s">
        <v>11</v>
      </c>
      <c r="D2" s="3" t="s">
        <v>24</v>
      </c>
      <c r="E2" s="7">
        <v>11</v>
      </c>
      <c r="F2" s="7">
        <v>11</v>
      </c>
      <c r="G2" s="7">
        <v>0</v>
      </c>
      <c r="H2" s="7">
        <v>22</v>
      </c>
      <c r="I2" s="7">
        <v>7</v>
      </c>
      <c r="J2" s="11">
        <v>33.333333333333343</v>
      </c>
      <c r="K2" s="12">
        <v>2.4666666666666668</v>
      </c>
      <c r="L2" s="2">
        <f t="shared" ref="L2:L44" si="0">VLOOKUP($D2,$O$2:$S$44,4,0)</f>
        <v>13.71428571428571</v>
      </c>
      <c r="M2" s="3"/>
      <c r="N2" s="3" t="s">
        <v>11</v>
      </c>
      <c r="O2" s="3" t="s">
        <v>29</v>
      </c>
      <c r="P2" s="3" t="s">
        <v>10</v>
      </c>
      <c r="Q2" s="3">
        <v>6363</v>
      </c>
      <c r="R2" s="12">
        <v>9.5891812865497084</v>
      </c>
      <c r="S2" s="12">
        <v>2</v>
      </c>
    </row>
    <row r="3" spans="1:19" x14ac:dyDescent="0.3">
      <c r="A3" s="3" t="s">
        <v>10</v>
      </c>
      <c r="B3" s="3">
        <v>6363</v>
      </c>
      <c r="C3" s="3" t="s">
        <v>11</v>
      </c>
      <c r="D3" s="3" t="s">
        <v>35</v>
      </c>
      <c r="E3" s="7">
        <v>11</v>
      </c>
      <c r="F3" s="7">
        <v>11</v>
      </c>
      <c r="G3" s="7">
        <v>0</v>
      </c>
      <c r="H3" s="7">
        <v>5</v>
      </c>
      <c r="I3" s="7">
        <v>10</v>
      </c>
      <c r="J3" s="11">
        <v>68.75</v>
      </c>
      <c r="K3" s="12">
        <v>3.4666666666666668</v>
      </c>
      <c r="L3" s="2">
        <f t="shared" si="0"/>
        <v>16.375</v>
      </c>
      <c r="M3" s="3"/>
      <c r="N3" s="3" t="s">
        <v>11</v>
      </c>
      <c r="O3" s="3" t="s">
        <v>34</v>
      </c>
      <c r="P3" s="3" t="s">
        <v>10</v>
      </c>
      <c r="Q3" s="3">
        <v>6363</v>
      </c>
      <c r="R3" s="12">
        <v>10.898305084745759</v>
      </c>
      <c r="S3" s="12">
        <v>1.8</v>
      </c>
    </row>
    <row r="4" spans="1:19" x14ac:dyDescent="0.3">
      <c r="A4" s="3" t="s">
        <v>10</v>
      </c>
      <c r="B4" s="3">
        <v>6363</v>
      </c>
      <c r="C4" s="3" t="s">
        <v>11</v>
      </c>
      <c r="D4" s="3" t="s">
        <v>23</v>
      </c>
      <c r="E4" s="7">
        <v>23</v>
      </c>
      <c r="F4" s="7">
        <v>23</v>
      </c>
      <c r="G4" s="7">
        <v>0</v>
      </c>
      <c r="H4" s="7">
        <v>11</v>
      </c>
      <c r="I4" s="7">
        <v>19</v>
      </c>
      <c r="J4" s="11">
        <v>67.647058823529406</v>
      </c>
      <c r="K4" s="12">
        <v>2.7333333333333329</v>
      </c>
      <c r="L4" s="2">
        <f t="shared" si="0"/>
        <v>10</v>
      </c>
      <c r="M4" s="3"/>
      <c r="N4" s="3" t="s">
        <v>11</v>
      </c>
      <c r="O4" s="3" t="s">
        <v>24</v>
      </c>
      <c r="P4" s="3" t="s">
        <v>10</v>
      </c>
      <c r="Q4" s="3">
        <v>6363</v>
      </c>
      <c r="R4" s="12">
        <v>13.71428571428571</v>
      </c>
      <c r="S4" s="12">
        <v>2.4666666666666668</v>
      </c>
    </row>
    <row r="5" spans="1:19" x14ac:dyDescent="0.3">
      <c r="A5" s="3" t="s">
        <v>10</v>
      </c>
      <c r="B5" s="3">
        <v>6363</v>
      </c>
      <c r="C5" s="3" t="s">
        <v>11</v>
      </c>
      <c r="D5" s="3" t="s">
        <v>18</v>
      </c>
      <c r="E5" s="7">
        <v>18</v>
      </c>
      <c r="F5" s="7">
        <v>18</v>
      </c>
      <c r="G5" s="7">
        <v>0</v>
      </c>
      <c r="H5" s="7">
        <v>9</v>
      </c>
      <c r="I5" s="7">
        <v>15</v>
      </c>
      <c r="J5" s="11">
        <v>66.666666666666671</v>
      </c>
      <c r="K5" s="12">
        <v>3.5</v>
      </c>
      <c r="L5" s="2">
        <f t="shared" si="0"/>
        <v>8.2941176470588243</v>
      </c>
      <c r="M5" s="3"/>
      <c r="N5" s="3" t="s">
        <v>11</v>
      </c>
      <c r="O5" s="3" t="s">
        <v>40</v>
      </c>
      <c r="P5" s="3" t="s">
        <v>10</v>
      </c>
      <c r="Q5" s="3">
        <v>6363</v>
      </c>
      <c r="R5" s="12">
        <v>8.16796875</v>
      </c>
      <c r="S5" s="12">
        <v>1.4</v>
      </c>
    </row>
    <row r="6" spans="1:19" x14ac:dyDescent="0.3">
      <c r="A6" s="3" t="s">
        <v>10</v>
      </c>
      <c r="B6" s="3">
        <v>6363</v>
      </c>
      <c r="C6" s="3" t="s">
        <v>11</v>
      </c>
      <c r="D6" s="3" t="s">
        <v>48</v>
      </c>
      <c r="E6" s="7">
        <v>48</v>
      </c>
      <c r="F6" s="7">
        <v>48</v>
      </c>
      <c r="G6" s="7">
        <v>0</v>
      </c>
      <c r="H6" s="7">
        <v>44</v>
      </c>
      <c r="I6" s="7">
        <v>34</v>
      </c>
      <c r="J6" s="11">
        <v>52.173913043478258</v>
      </c>
      <c r="K6" s="12">
        <v>3.166666666666667</v>
      </c>
      <c r="L6" s="2">
        <f t="shared" si="0"/>
        <v>7.5405405405405403</v>
      </c>
      <c r="M6" s="3"/>
      <c r="N6" s="3" t="s">
        <v>11</v>
      </c>
      <c r="O6" s="3" t="s">
        <v>54</v>
      </c>
      <c r="P6" s="3" t="s">
        <v>10</v>
      </c>
      <c r="Q6" s="3">
        <v>6363</v>
      </c>
      <c r="R6" s="12">
        <v>7.5419354838709678</v>
      </c>
      <c r="S6" s="12">
        <v>1</v>
      </c>
    </row>
    <row r="7" spans="1:19" x14ac:dyDescent="0.3">
      <c r="A7" s="3" t="s">
        <v>10</v>
      </c>
      <c r="B7" s="3">
        <v>6363</v>
      </c>
      <c r="C7" s="3" t="s">
        <v>11</v>
      </c>
      <c r="D7" s="3" t="s">
        <v>36</v>
      </c>
      <c r="E7" s="7">
        <v>77</v>
      </c>
      <c r="F7" s="7">
        <v>70</v>
      </c>
      <c r="G7" s="7">
        <v>7</v>
      </c>
      <c r="H7" s="7">
        <v>68</v>
      </c>
      <c r="I7" s="7">
        <v>51</v>
      </c>
      <c r="J7" s="11">
        <v>48.275862068965523</v>
      </c>
      <c r="K7" s="12">
        <v>3.0666666666666669</v>
      </c>
      <c r="L7" s="2">
        <f t="shared" si="0"/>
        <v>8.4909090909090903</v>
      </c>
      <c r="M7" s="3"/>
      <c r="N7" s="3" t="s">
        <v>11</v>
      </c>
      <c r="O7" s="3" t="s">
        <v>30</v>
      </c>
      <c r="P7" s="3" t="s">
        <v>10</v>
      </c>
      <c r="Q7" s="3">
        <v>6363</v>
      </c>
      <c r="R7" s="12">
        <v>10.410256410256411</v>
      </c>
      <c r="S7" s="12">
        <v>1.1333333333333331</v>
      </c>
    </row>
    <row r="8" spans="1:19" x14ac:dyDescent="0.3">
      <c r="A8" s="3" t="s">
        <v>10</v>
      </c>
      <c r="B8" s="3">
        <v>6363</v>
      </c>
      <c r="C8" s="3" t="s">
        <v>11</v>
      </c>
      <c r="D8" s="3" t="s">
        <v>17</v>
      </c>
      <c r="E8" s="7">
        <v>80</v>
      </c>
      <c r="F8" s="7">
        <v>80</v>
      </c>
      <c r="G8" s="7">
        <v>0</v>
      </c>
      <c r="H8" s="7">
        <v>42</v>
      </c>
      <c r="I8" s="7">
        <v>60</v>
      </c>
      <c r="J8" s="11">
        <v>65.573770491803273</v>
      </c>
      <c r="K8" s="12">
        <v>1.9333333333333329</v>
      </c>
      <c r="L8" s="2">
        <f t="shared" si="0"/>
        <v>10.492537313432839</v>
      </c>
      <c r="M8" s="3"/>
      <c r="N8" s="3" t="s">
        <v>11</v>
      </c>
      <c r="O8" s="3" t="s">
        <v>32</v>
      </c>
      <c r="P8" s="3" t="s">
        <v>10</v>
      </c>
      <c r="Q8" s="3">
        <v>6363</v>
      </c>
      <c r="R8" s="12">
        <v>7.8557692307692308</v>
      </c>
      <c r="S8" s="12">
        <v>2.2999999999999998</v>
      </c>
    </row>
    <row r="9" spans="1:19" x14ac:dyDescent="0.3">
      <c r="A9" s="3" t="s">
        <v>10</v>
      </c>
      <c r="B9" s="3">
        <v>6363</v>
      </c>
      <c r="C9" s="3" t="s">
        <v>11</v>
      </c>
      <c r="D9" s="3" t="s">
        <v>43</v>
      </c>
      <c r="E9" s="7">
        <v>102</v>
      </c>
      <c r="F9" s="7">
        <v>100</v>
      </c>
      <c r="G9" s="7">
        <v>2</v>
      </c>
      <c r="H9" s="7">
        <v>67</v>
      </c>
      <c r="I9" s="7">
        <v>80</v>
      </c>
      <c r="J9" s="11">
        <v>59.171597633136088</v>
      </c>
      <c r="K9" s="12">
        <v>3.666666666666667</v>
      </c>
      <c r="L9" s="2">
        <f t="shared" si="0"/>
        <v>8</v>
      </c>
      <c r="M9" s="3"/>
      <c r="N9" s="3" t="s">
        <v>11</v>
      </c>
      <c r="O9" s="3" t="s">
        <v>35</v>
      </c>
      <c r="P9" s="3" t="s">
        <v>10</v>
      </c>
      <c r="Q9" s="3">
        <v>6363</v>
      </c>
      <c r="R9" s="12">
        <v>16.375</v>
      </c>
      <c r="S9" s="12">
        <v>3.4666666666666668</v>
      </c>
    </row>
    <row r="10" spans="1:19" x14ac:dyDescent="0.3">
      <c r="A10" s="3" t="s">
        <v>10</v>
      </c>
      <c r="B10" s="3">
        <v>6363</v>
      </c>
      <c r="C10" s="3" t="s">
        <v>11</v>
      </c>
      <c r="D10" s="3" t="s">
        <v>14</v>
      </c>
      <c r="E10" s="7">
        <v>123</v>
      </c>
      <c r="F10" s="7">
        <v>122</v>
      </c>
      <c r="G10" s="7">
        <v>1</v>
      </c>
      <c r="H10" s="7">
        <v>160</v>
      </c>
      <c r="I10" s="7">
        <v>102</v>
      </c>
      <c r="J10" s="11">
        <v>43.109540636042396</v>
      </c>
      <c r="K10" s="12">
        <v>4.0333333333333332</v>
      </c>
      <c r="L10" s="2">
        <f t="shared" si="0"/>
        <v>9.116504854368932</v>
      </c>
      <c r="M10" s="3"/>
      <c r="N10" s="3" t="s">
        <v>11</v>
      </c>
      <c r="O10" s="3" t="s">
        <v>20</v>
      </c>
      <c r="P10" s="3" t="s">
        <v>10</v>
      </c>
      <c r="Q10" s="3">
        <v>6363</v>
      </c>
      <c r="R10" s="12">
        <v>8.7688172043010759</v>
      </c>
      <c r="S10" s="12">
        <v>2.8</v>
      </c>
    </row>
    <row r="11" spans="1:19" x14ac:dyDescent="0.3">
      <c r="A11" s="3" t="s">
        <v>10</v>
      </c>
      <c r="B11" s="3">
        <v>6363</v>
      </c>
      <c r="C11" s="3" t="s">
        <v>11</v>
      </c>
      <c r="D11" s="3" t="s">
        <v>22</v>
      </c>
      <c r="E11" s="7">
        <v>179</v>
      </c>
      <c r="F11" s="7">
        <v>176</v>
      </c>
      <c r="G11" s="7">
        <v>3</v>
      </c>
      <c r="H11" s="7">
        <v>140</v>
      </c>
      <c r="I11" s="7">
        <v>151</v>
      </c>
      <c r="J11" s="11">
        <v>55.172413793103438</v>
      </c>
      <c r="K11" s="12">
        <v>3.3</v>
      </c>
      <c r="L11" s="2">
        <f t="shared" si="0"/>
        <v>7.3017751479289954</v>
      </c>
      <c r="M11" s="3"/>
      <c r="N11" s="3" t="s">
        <v>11</v>
      </c>
      <c r="O11" s="3" t="s">
        <v>49</v>
      </c>
      <c r="P11" s="3" t="s">
        <v>10</v>
      </c>
      <c r="Q11" s="3">
        <v>6363</v>
      </c>
      <c r="R11" s="12">
        <v>20</v>
      </c>
      <c r="S11" s="12">
        <v>5.7333333333333334</v>
      </c>
    </row>
    <row r="12" spans="1:19" x14ac:dyDescent="0.3">
      <c r="A12" s="3" t="s">
        <v>10</v>
      </c>
      <c r="B12" s="3">
        <v>6363</v>
      </c>
      <c r="C12" s="3" t="s">
        <v>11</v>
      </c>
      <c r="D12" s="3" t="s">
        <v>46</v>
      </c>
      <c r="E12" s="7">
        <v>365</v>
      </c>
      <c r="F12" s="7">
        <v>346</v>
      </c>
      <c r="G12" s="7">
        <v>19</v>
      </c>
      <c r="H12" s="7">
        <v>363</v>
      </c>
      <c r="I12" s="7">
        <v>261</v>
      </c>
      <c r="J12" s="11">
        <v>47.527472527472533</v>
      </c>
      <c r="K12" s="12">
        <v>3.333333333333333</v>
      </c>
      <c r="L12" s="2">
        <f t="shared" si="0"/>
        <v>8.094736842105263</v>
      </c>
      <c r="M12" s="3"/>
      <c r="N12" s="3" t="s">
        <v>11</v>
      </c>
      <c r="O12" s="3" t="s">
        <v>37</v>
      </c>
      <c r="P12" s="3" t="s">
        <v>10</v>
      </c>
      <c r="Q12" s="3">
        <v>6363</v>
      </c>
      <c r="R12" s="12">
        <v>13.025</v>
      </c>
      <c r="S12" s="12">
        <v>3.2</v>
      </c>
    </row>
    <row r="13" spans="1:19" x14ac:dyDescent="0.3">
      <c r="A13" s="3" t="s">
        <v>10</v>
      </c>
      <c r="B13" s="3">
        <v>6363</v>
      </c>
      <c r="C13" s="3" t="s">
        <v>11</v>
      </c>
      <c r="D13" s="3" t="s">
        <v>19</v>
      </c>
      <c r="E13" s="7">
        <v>364</v>
      </c>
      <c r="F13" s="7">
        <v>344</v>
      </c>
      <c r="G13" s="7">
        <v>20</v>
      </c>
      <c r="H13" s="7">
        <v>344</v>
      </c>
      <c r="I13" s="7">
        <v>279</v>
      </c>
      <c r="J13" s="11">
        <v>48.587570621468927</v>
      </c>
      <c r="K13" s="12">
        <v>2.9</v>
      </c>
      <c r="L13" s="2">
        <f t="shared" si="0"/>
        <v>7.5894308943089426</v>
      </c>
      <c r="M13" s="3"/>
      <c r="N13" s="3" t="s">
        <v>11</v>
      </c>
      <c r="O13" s="3" t="s">
        <v>21</v>
      </c>
      <c r="P13" s="3" t="s">
        <v>10</v>
      </c>
      <c r="Q13" s="3">
        <v>6363</v>
      </c>
      <c r="R13" s="12">
        <v>9.2888888888888896</v>
      </c>
      <c r="S13" s="12">
        <v>1.466666666666667</v>
      </c>
    </row>
    <row r="14" spans="1:19" x14ac:dyDescent="0.3">
      <c r="A14" s="3" t="s">
        <v>10</v>
      </c>
      <c r="B14" s="3">
        <v>6363</v>
      </c>
      <c r="C14" s="3" t="s">
        <v>11</v>
      </c>
      <c r="D14" s="3" t="s">
        <v>41</v>
      </c>
      <c r="E14" s="7">
        <v>312</v>
      </c>
      <c r="F14" s="7">
        <v>305</v>
      </c>
      <c r="G14" s="7">
        <v>7</v>
      </c>
      <c r="H14" s="7">
        <v>243</v>
      </c>
      <c r="I14" s="7">
        <v>250</v>
      </c>
      <c r="J14" s="11">
        <v>54.954954954954957</v>
      </c>
      <c r="K14" s="12">
        <v>1.033333333333333</v>
      </c>
      <c r="L14" s="2">
        <f t="shared" si="0"/>
        <v>7.7283950617283947</v>
      </c>
      <c r="M14" s="3"/>
      <c r="N14" s="3" t="s">
        <v>11</v>
      </c>
      <c r="O14" s="3" t="s">
        <v>14</v>
      </c>
      <c r="P14" s="3" t="s">
        <v>10</v>
      </c>
      <c r="Q14" s="3">
        <v>6363</v>
      </c>
      <c r="R14" s="12">
        <v>9.116504854368932</v>
      </c>
      <c r="S14" s="12">
        <v>4.0333333333333332</v>
      </c>
    </row>
    <row r="15" spans="1:19" x14ac:dyDescent="0.3">
      <c r="A15" s="3" t="s">
        <v>10</v>
      </c>
      <c r="B15" s="3">
        <v>6363</v>
      </c>
      <c r="C15" s="3" t="s">
        <v>11</v>
      </c>
      <c r="D15" s="3" t="s">
        <v>47</v>
      </c>
      <c r="E15" s="7">
        <v>283</v>
      </c>
      <c r="F15" s="7">
        <v>278</v>
      </c>
      <c r="G15" s="7">
        <v>5</v>
      </c>
      <c r="H15" s="7">
        <v>221</v>
      </c>
      <c r="I15" s="7">
        <v>220</v>
      </c>
      <c r="J15" s="11">
        <v>55.158730158730158</v>
      </c>
      <c r="K15" s="12">
        <v>1</v>
      </c>
      <c r="L15" s="2">
        <f t="shared" si="0"/>
        <v>7.0142180094786726</v>
      </c>
      <c r="M15" s="3"/>
      <c r="N15" s="3" t="s">
        <v>11</v>
      </c>
      <c r="O15" s="3" t="s">
        <v>38</v>
      </c>
      <c r="P15" s="3" t="s">
        <v>10</v>
      </c>
      <c r="Q15" s="3">
        <v>6363</v>
      </c>
      <c r="R15" s="12">
        <v>8.6082802547770694</v>
      </c>
      <c r="S15" s="12">
        <v>1.833333333333333</v>
      </c>
    </row>
    <row r="16" spans="1:19" x14ac:dyDescent="0.3">
      <c r="A16" s="3" t="s">
        <v>58</v>
      </c>
      <c r="B16" s="3">
        <v>6363</v>
      </c>
      <c r="C16" s="3" t="s">
        <v>11</v>
      </c>
      <c r="D16" s="3" t="s">
        <v>12</v>
      </c>
      <c r="E16" s="7">
        <v>283</v>
      </c>
      <c r="F16" s="7">
        <v>272</v>
      </c>
      <c r="G16" s="7">
        <v>11</v>
      </c>
      <c r="H16" s="7">
        <v>201</v>
      </c>
      <c r="I16" s="7">
        <v>227</v>
      </c>
      <c r="J16" s="11">
        <v>56.198347107438018</v>
      </c>
      <c r="K16" s="12">
        <v>1</v>
      </c>
      <c r="L16" s="2">
        <f t="shared" si="0"/>
        <v>7.583333333333333</v>
      </c>
      <c r="M16" s="3"/>
      <c r="N16" s="3" t="s">
        <v>11</v>
      </c>
      <c r="O16" s="3" t="s">
        <v>33</v>
      </c>
      <c r="P16" s="3" t="s">
        <v>10</v>
      </c>
      <c r="Q16" s="3">
        <v>6363</v>
      </c>
      <c r="R16" s="12">
        <v>7.580645161290323</v>
      </c>
      <c r="S16" s="12">
        <v>4.1333333333333337</v>
      </c>
    </row>
    <row r="17" spans="1:19" x14ac:dyDescent="0.3">
      <c r="A17" s="3" t="s">
        <v>10</v>
      </c>
      <c r="B17" s="3">
        <v>6363</v>
      </c>
      <c r="C17" s="3" t="s">
        <v>11</v>
      </c>
      <c r="D17" s="3" t="s">
        <v>13</v>
      </c>
      <c r="E17" s="7">
        <v>276</v>
      </c>
      <c r="F17" s="7">
        <v>265</v>
      </c>
      <c r="G17" s="7">
        <v>11</v>
      </c>
      <c r="H17" s="7">
        <v>279</v>
      </c>
      <c r="I17" s="7">
        <v>195</v>
      </c>
      <c r="J17" s="11">
        <v>47.747747747747738</v>
      </c>
      <c r="K17" s="12">
        <v>1</v>
      </c>
      <c r="L17" s="2">
        <f t="shared" si="0"/>
        <v>7.1851851851851851</v>
      </c>
      <c r="M17" s="3"/>
      <c r="N17" s="3" t="s">
        <v>11</v>
      </c>
      <c r="O17" s="3" t="s">
        <v>19</v>
      </c>
      <c r="P17" s="3" t="s">
        <v>10</v>
      </c>
      <c r="Q17" s="3">
        <v>6363</v>
      </c>
      <c r="R17" s="12">
        <v>7.5894308943089426</v>
      </c>
      <c r="S17" s="12">
        <v>2.9</v>
      </c>
    </row>
    <row r="18" spans="1:19" x14ac:dyDescent="0.3">
      <c r="A18" s="3" t="s">
        <v>10</v>
      </c>
      <c r="B18" s="3">
        <v>6363</v>
      </c>
      <c r="C18" s="3" t="s">
        <v>11</v>
      </c>
      <c r="D18" s="3" t="s">
        <v>16</v>
      </c>
      <c r="E18" s="7">
        <v>189</v>
      </c>
      <c r="F18" s="7">
        <v>185</v>
      </c>
      <c r="G18" s="7">
        <v>4</v>
      </c>
      <c r="H18" s="7">
        <v>127</v>
      </c>
      <c r="I18" s="7">
        <v>149</v>
      </c>
      <c r="J18" s="11">
        <v>58.544303797468352</v>
      </c>
      <c r="K18" s="12">
        <v>1</v>
      </c>
      <c r="L18" s="2">
        <f t="shared" si="0"/>
        <v>7.1140939597315436</v>
      </c>
      <c r="M18" s="3"/>
      <c r="N18" s="3" t="s">
        <v>11</v>
      </c>
      <c r="O18" s="3" t="s">
        <v>31</v>
      </c>
      <c r="P18" s="3" t="s">
        <v>10</v>
      </c>
      <c r="Q18" s="3">
        <v>6363</v>
      </c>
      <c r="R18" s="12">
        <v>7.9245283018867916</v>
      </c>
      <c r="S18" s="12">
        <v>3.833333333333333</v>
      </c>
    </row>
    <row r="19" spans="1:19" x14ac:dyDescent="0.3">
      <c r="A19" s="3" t="s">
        <v>10</v>
      </c>
      <c r="B19" s="3">
        <v>6363</v>
      </c>
      <c r="C19" s="3" t="s">
        <v>11</v>
      </c>
      <c r="D19" s="3" t="s">
        <v>54</v>
      </c>
      <c r="E19" s="7">
        <v>249</v>
      </c>
      <c r="F19" s="7">
        <v>235</v>
      </c>
      <c r="G19" s="7">
        <v>14</v>
      </c>
      <c r="H19" s="7">
        <v>210</v>
      </c>
      <c r="I19" s="7">
        <v>161</v>
      </c>
      <c r="J19" s="11">
        <v>51.19825708061002</v>
      </c>
      <c r="K19" s="12">
        <v>1</v>
      </c>
      <c r="L19" s="2">
        <f t="shared" si="0"/>
        <v>7.5419354838709678</v>
      </c>
      <c r="M19" s="3"/>
      <c r="N19" s="3" t="s">
        <v>11</v>
      </c>
      <c r="O19" s="3" t="s">
        <v>46</v>
      </c>
      <c r="P19" s="3" t="s">
        <v>10</v>
      </c>
      <c r="Q19" s="3">
        <v>6363</v>
      </c>
      <c r="R19" s="12">
        <v>8.094736842105263</v>
      </c>
      <c r="S19" s="12">
        <v>3.333333333333333</v>
      </c>
    </row>
    <row r="20" spans="1:19" x14ac:dyDescent="0.3">
      <c r="A20" s="3" t="s">
        <v>10</v>
      </c>
      <c r="B20" s="3">
        <v>6363</v>
      </c>
      <c r="C20" s="3" t="s">
        <v>11</v>
      </c>
      <c r="D20" s="3" t="s">
        <v>33</v>
      </c>
      <c r="E20" s="7">
        <v>206</v>
      </c>
      <c r="F20" s="7">
        <v>204</v>
      </c>
      <c r="G20" s="7">
        <v>2</v>
      </c>
      <c r="H20" s="7">
        <v>143</v>
      </c>
      <c r="I20" s="7">
        <v>159</v>
      </c>
      <c r="J20" s="11">
        <v>58.45272206303725</v>
      </c>
      <c r="K20" s="12">
        <v>4.1333333333333337</v>
      </c>
      <c r="L20" s="2">
        <f t="shared" si="0"/>
        <v>7.580645161290323</v>
      </c>
      <c r="M20" s="3"/>
      <c r="N20" s="3" t="s">
        <v>11</v>
      </c>
      <c r="O20" s="3" t="s">
        <v>28</v>
      </c>
      <c r="P20" s="3" t="s">
        <v>10</v>
      </c>
      <c r="Q20" s="3">
        <v>6363</v>
      </c>
      <c r="R20" s="12">
        <v>9.01</v>
      </c>
      <c r="S20" s="12">
        <v>1.5</v>
      </c>
    </row>
    <row r="21" spans="1:19" x14ac:dyDescent="0.3">
      <c r="A21" s="3" t="s">
        <v>10</v>
      </c>
      <c r="B21" s="3">
        <v>6363</v>
      </c>
      <c r="C21" s="3" t="s">
        <v>11</v>
      </c>
      <c r="D21" s="3" t="s">
        <v>31</v>
      </c>
      <c r="E21" s="7">
        <v>246</v>
      </c>
      <c r="F21" s="7">
        <v>239</v>
      </c>
      <c r="G21" s="7">
        <v>7</v>
      </c>
      <c r="H21" s="7">
        <v>269</v>
      </c>
      <c r="I21" s="7">
        <v>165</v>
      </c>
      <c r="J21" s="11">
        <v>46.407766990291258</v>
      </c>
      <c r="K21" s="12">
        <v>3.833333333333333</v>
      </c>
      <c r="L21" s="2">
        <f t="shared" si="0"/>
        <v>7.9245283018867916</v>
      </c>
      <c r="M21" s="3"/>
      <c r="N21" s="3" t="s">
        <v>11</v>
      </c>
      <c r="O21" s="3" t="s">
        <v>22</v>
      </c>
      <c r="P21" s="3" t="s">
        <v>10</v>
      </c>
      <c r="Q21" s="3">
        <v>6363</v>
      </c>
      <c r="R21" s="12">
        <v>7.3017751479289954</v>
      </c>
      <c r="S21" s="12">
        <v>3.3</v>
      </c>
    </row>
    <row r="22" spans="1:19" x14ac:dyDescent="0.3">
      <c r="A22" s="3" t="s">
        <v>10</v>
      </c>
      <c r="B22" s="3">
        <v>6363</v>
      </c>
      <c r="C22" s="3" t="s">
        <v>11</v>
      </c>
      <c r="D22" s="3" t="s">
        <v>27</v>
      </c>
      <c r="E22" s="7">
        <v>254</v>
      </c>
      <c r="F22" s="7">
        <v>247</v>
      </c>
      <c r="G22" s="7">
        <v>7</v>
      </c>
      <c r="H22" s="7">
        <v>202</v>
      </c>
      <c r="I22" s="7">
        <v>174</v>
      </c>
      <c r="J22" s="11">
        <v>54.166666666666657</v>
      </c>
      <c r="K22" s="12">
        <v>3.8</v>
      </c>
      <c r="L22" s="2">
        <f t="shared" si="0"/>
        <v>7.6464088397790064</v>
      </c>
      <c r="M22" s="3"/>
      <c r="N22" s="3" t="s">
        <v>11</v>
      </c>
      <c r="O22" s="3" t="s">
        <v>44</v>
      </c>
      <c r="P22" s="3" t="s">
        <v>10</v>
      </c>
      <c r="Q22" s="3">
        <v>6363</v>
      </c>
      <c r="R22" s="12">
        <v>8.5560975609756103</v>
      </c>
      <c r="S22" s="12">
        <v>1.166666666666667</v>
      </c>
    </row>
    <row r="23" spans="1:19" x14ac:dyDescent="0.3">
      <c r="A23" s="3" t="s">
        <v>10</v>
      </c>
      <c r="B23" s="3">
        <v>6363</v>
      </c>
      <c r="C23" s="3" t="s">
        <v>11</v>
      </c>
      <c r="D23" s="3" t="s">
        <v>45</v>
      </c>
      <c r="E23" s="7">
        <v>355</v>
      </c>
      <c r="F23" s="7">
        <v>337</v>
      </c>
      <c r="G23" s="7">
        <v>18</v>
      </c>
      <c r="H23" s="7">
        <v>323</v>
      </c>
      <c r="I23" s="7">
        <v>228</v>
      </c>
      <c r="J23" s="11">
        <v>49.705014749262538</v>
      </c>
      <c r="K23" s="12">
        <v>1.9333333333333329</v>
      </c>
      <c r="L23" s="2">
        <f t="shared" si="0"/>
        <v>7.6840000000000002</v>
      </c>
      <c r="M23" s="3"/>
      <c r="N23" s="3" t="s">
        <v>11</v>
      </c>
      <c r="O23" s="3" t="s">
        <v>48</v>
      </c>
      <c r="P23" s="3" t="s">
        <v>10</v>
      </c>
      <c r="Q23" s="3">
        <v>6363</v>
      </c>
      <c r="R23" s="12">
        <v>7.5405405405405403</v>
      </c>
      <c r="S23" s="12">
        <v>3.166666666666667</v>
      </c>
    </row>
    <row r="24" spans="1:19" x14ac:dyDescent="0.3">
      <c r="A24" s="3" t="s">
        <v>10</v>
      </c>
      <c r="B24" s="3">
        <v>6363</v>
      </c>
      <c r="C24" s="3" t="s">
        <v>11</v>
      </c>
      <c r="D24" s="3" t="s">
        <v>51</v>
      </c>
      <c r="E24" s="7">
        <v>501</v>
      </c>
      <c r="F24" s="7">
        <v>473</v>
      </c>
      <c r="G24" s="7">
        <v>28</v>
      </c>
      <c r="H24" s="7">
        <v>454</v>
      </c>
      <c r="I24" s="7">
        <v>337</v>
      </c>
      <c r="J24" s="11">
        <v>49.528795811518322</v>
      </c>
      <c r="K24" s="12">
        <v>3.1333333333333329</v>
      </c>
      <c r="L24" s="2">
        <f t="shared" si="0"/>
        <v>8.3403141361256541</v>
      </c>
      <c r="M24" s="3"/>
      <c r="N24" s="3" t="s">
        <v>11</v>
      </c>
      <c r="O24" s="3" t="s">
        <v>45</v>
      </c>
      <c r="P24" s="3" t="s">
        <v>10</v>
      </c>
      <c r="Q24" s="3">
        <v>6363</v>
      </c>
      <c r="R24" s="12">
        <v>7.6840000000000002</v>
      </c>
      <c r="S24" s="12">
        <v>1.9333333333333329</v>
      </c>
    </row>
    <row r="25" spans="1:19" x14ac:dyDescent="0.3">
      <c r="A25" s="3" t="s">
        <v>10</v>
      </c>
      <c r="B25" s="3">
        <v>6363</v>
      </c>
      <c r="C25" s="3" t="s">
        <v>11</v>
      </c>
      <c r="D25" s="3" t="s">
        <v>20</v>
      </c>
      <c r="E25" s="7">
        <v>864</v>
      </c>
      <c r="F25" s="7">
        <v>797</v>
      </c>
      <c r="G25" s="7">
        <v>67</v>
      </c>
      <c r="H25" s="7">
        <v>989</v>
      </c>
      <c r="I25" s="7">
        <v>526</v>
      </c>
      <c r="J25" s="11">
        <v>43.011332973556392</v>
      </c>
      <c r="K25" s="12">
        <v>2.8</v>
      </c>
      <c r="L25" s="2">
        <f t="shared" si="0"/>
        <v>8.7688172043010759</v>
      </c>
      <c r="M25" s="3"/>
      <c r="N25" s="3" t="s">
        <v>11</v>
      </c>
      <c r="O25" s="3" t="s">
        <v>39</v>
      </c>
      <c r="P25" s="3" t="s">
        <v>10</v>
      </c>
      <c r="Q25" s="3">
        <v>6363</v>
      </c>
      <c r="R25" s="12">
        <v>9.9300476947535774</v>
      </c>
      <c r="S25" s="12">
        <v>1.666666666666667</v>
      </c>
    </row>
    <row r="26" spans="1:19" x14ac:dyDescent="0.3">
      <c r="A26" s="3" t="s">
        <v>10</v>
      </c>
      <c r="B26" s="3">
        <v>6363</v>
      </c>
      <c r="C26" s="3" t="s">
        <v>11</v>
      </c>
      <c r="D26" s="3" t="s">
        <v>29</v>
      </c>
      <c r="E26" s="7">
        <v>1505</v>
      </c>
      <c r="F26" s="7">
        <v>1269</v>
      </c>
      <c r="G26" s="7">
        <v>236</v>
      </c>
      <c r="H26" s="7">
        <v>1662</v>
      </c>
      <c r="I26" s="7">
        <v>675</v>
      </c>
      <c r="J26" s="11">
        <v>40.069466371960843</v>
      </c>
      <c r="K26" s="12">
        <v>2</v>
      </c>
      <c r="L26" s="2">
        <f t="shared" si="0"/>
        <v>9.5891812865497084</v>
      </c>
      <c r="M26" s="3"/>
      <c r="N26" s="3" t="s">
        <v>11</v>
      </c>
      <c r="O26" s="3" t="s">
        <v>17</v>
      </c>
      <c r="P26" s="3" t="s">
        <v>10</v>
      </c>
      <c r="Q26" s="3">
        <v>6363</v>
      </c>
      <c r="R26" s="12">
        <v>10.492537313432839</v>
      </c>
      <c r="S26" s="12">
        <v>1.9333333333333329</v>
      </c>
    </row>
    <row r="27" spans="1:19" x14ac:dyDescent="0.3">
      <c r="A27" s="3" t="s">
        <v>10</v>
      </c>
      <c r="B27" s="3">
        <v>6363</v>
      </c>
      <c r="C27" s="3" t="s">
        <v>11</v>
      </c>
      <c r="D27" s="3" t="s">
        <v>39</v>
      </c>
      <c r="E27" s="7">
        <v>2018</v>
      </c>
      <c r="F27" s="7">
        <v>1598</v>
      </c>
      <c r="G27" s="7">
        <v>420</v>
      </c>
      <c r="H27" s="7">
        <v>2376</v>
      </c>
      <c r="I27" s="7">
        <v>710</v>
      </c>
      <c r="J27" s="11">
        <v>36.36777423759672</v>
      </c>
      <c r="K27" s="12">
        <v>1.666666666666667</v>
      </c>
      <c r="L27" s="2">
        <f t="shared" si="0"/>
        <v>9.9300476947535774</v>
      </c>
      <c r="M27" s="3"/>
      <c r="N27" s="3" t="s">
        <v>11</v>
      </c>
      <c r="O27" s="3" t="s">
        <v>13</v>
      </c>
      <c r="P27" s="3" t="s">
        <v>10</v>
      </c>
      <c r="Q27" s="3">
        <v>6363</v>
      </c>
      <c r="R27" s="12">
        <v>7.1851851851851851</v>
      </c>
      <c r="S27" s="12">
        <v>1</v>
      </c>
    </row>
    <row r="28" spans="1:19" x14ac:dyDescent="0.3">
      <c r="A28" s="3" t="s">
        <v>10</v>
      </c>
      <c r="B28" s="3">
        <v>6363</v>
      </c>
      <c r="C28" s="3" t="s">
        <v>11</v>
      </c>
      <c r="D28" s="3" t="s">
        <v>21</v>
      </c>
      <c r="E28" s="7">
        <v>1328</v>
      </c>
      <c r="F28" s="7">
        <v>1200</v>
      </c>
      <c r="G28" s="7">
        <v>128</v>
      </c>
      <c r="H28" s="7">
        <v>1362</v>
      </c>
      <c r="I28" s="7">
        <v>631</v>
      </c>
      <c r="J28" s="11">
        <v>44.609665427509292</v>
      </c>
      <c r="K28" s="12">
        <v>1.466666666666667</v>
      </c>
      <c r="L28" s="2">
        <f t="shared" si="0"/>
        <v>9.2888888888888896</v>
      </c>
      <c r="M28" s="3"/>
      <c r="N28" s="3" t="s">
        <v>11</v>
      </c>
      <c r="O28" s="3" t="s">
        <v>23</v>
      </c>
      <c r="P28" s="3" t="s">
        <v>10</v>
      </c>
      <c r="Q28" s="3">
        <v>6363</v>
      </c>
      <c r="R28" s="12">
        <v>10</v>
      </c>
      <c r="S28" s="12">
        <v>2.7333333333333329</v>
      </c>
    </row>
    <row r="29" spans="1:19" x14ac:dyDescent="0.3">
      <c r="A29" s="3" t="s">
        <v>10</v>
      </c>
      <c r="B29" s="3">
        <v>6363</v>
      </c>
      <c r="C29" s="3" t="s">
        <v>11</v>
      </c>
      <c r="D29" s="3" t="s">
        <v>40</v>
      </c>
      <c r="E29" s="7">
        <v>933</v>
      </c>
      <c r="F29" s="7">
        <v>871</v>
      </c>
      <c r="G29" s="7">
        <v>62</v>
      </c>
      <c r="H29" s="7">
        <v>1000</v>
      </c>
      <c r="I29" s="7">
        <v>560</v>
      </c>
      <c r="J29" s="11">
        <v>45.059493016037251</v>
      </c>
      <c r="K29" s="12">
        <v>1.4</v>
      </c>
      <c r="L29" s="2">
        <f t="shared" si="0"/>
        <v>8.16796875</v>
      </c>
      <c r="M29" s="3"/>
      <c r="N29" s="3" t="s">
        <v>11</v>
      </c>
      <c r="O29" s="3" t="s">
        <v>16</v>
      </c>
      <c r="P29" s="3" t="s">
        <v>10</v>
      </c>
      <c r="Q29" s="3">
        <v>6363</v>
      </c>
      <c r="R29" s="12">
        <v>7.1140939597315436</v>
      </c>
      <c r="S29" s="12">
        <v>1</v>
      </c>
    </row>
    <row r="30" spans="1:19" x14ac:dyDescent="0.3">
      <c r="A30" s="3" t="s">
        <v>10</v>
      </c>
      <c r="B30" s="3">
        <v>6363</v>
      </c>
      <c r="C30" s="3" t="s">
        <v>11</v>
      </c>
      <c r="D30" s="3" t="s">
        <v>26</v>
      </c>
      <c r="E30" s="7">
        <v>736</v>
      </c>
      <c r="F30" s="7">
        <v>690</v>
      </c>
      <c r="G30" s="7">
        <v>46</v>
      </c>
      <c r="H30" s="7">
        <v>682</v>
      </c>
      <c r="I30" s="7">
        <v>452</v>
      </c>
      <c r="J30" s="11">
        <v>48.660084626234131</v>
      </c>
      <c r="K30" s="12">
        <v>3.1333333333333329</v>
      </c>
      <c r="L30" s="2">
        <f t="shared" si="0"/>
        <v>9.1124121779859486</v>
      </c>
      <c r="M30" s="3"/>
      <c r="N30" s="3" t="s">
        <v>11</v>
      </c>
      <c r="O30" s="3" t="s">
        <v>27</v>
      </c>
      <c r="P30" s="3" t="s">
        <v>10</v>
      </c>
      <c r="Q30" s="3">
        <v>6363</v>
      </c>
      <c r="R30" s="12">
        <v>7.6464088397790064</v>
      </c>
      <c r="S30" s="12">
        <v>3.8</v>
      </c>
    </row>
    <row r="31" spans="1:19" x14ac:dyDescent="0.3">
      <c r="A31" s="3" t="s">
        <v>10</v>
      </c>
      <c r="B31" s="3">
        <v>6363</v>
      </c>
      <c r="C31" s="3" t="s">
        <v>11</v>
      </c>
      <c r="D31" s="3" t="s">
        <v>32</v>
      </c>
      <c r="E31" s="7">
        <v>570</v>
      </c>
      <c r="F31" s="7">
        <v>537</v>
      </c>
      <c r="G31" s="7">
        <v>33</v>
      </c>
      <c r="H31" s="7">
        <v>566</v>
      </c>
      <c r="I31" s="7">
        <v>376</v>
      </c>
      <c r="J31" s="11">
        <v>47.271126760563376</v>
      </c>
      <c r="K31" s="12">
        <v>2.2999999999999998</v>
      </c>
      <c r="L31" s="2">
        <f t="shared" si="0"/>
        <v>7.8557692307692308</v>
      </c>
      <c r="M31" s="3"/>
      <c r="N31" s="3" t="s">
        <v>11</v>
      </c>
      <c r="O31" s="3" t="s">
        <v>42</v>
      </c>
      <c r="P31" s="3" t="s">
        <v>10</v>
      </c>
      <c r="Q31" s="3">
        <v>6363</v>
      </c>
      <c r="R31" s="12">
        <v>9.24</v>
      </c>
      <c r="S31" s="12">
        <v>4.7333333333333334</v>
      </c>
    </row>
    <row r="32" spans="1:19" x14ac:dyDescent="0.3">
      <c r="A32" s="3" t="s">
        <v>10</v>
      </c>
      <c r="B32" s="3">
        <v>6363</v>
      </c>
      <c r="C32" s="3" t="s">
        <v>11</v>
      </c>
      <c r="D32" s="3" t="s">
        <v>38</v>
      </c>
      <c r="E32" s="7">
        <v>411</v>
      </c>
      <c r="F32" s="7">
        <v>400</v>
      </c>
      <c r="G32" s="7">
        <v>11</v>
      </c>
      <c r="H32" s="7">
        <v>328</v>
      </c>
      <c r="I32" s="7">
        <v>308</v>
      </c>
      <c r="J32" s="11">
        <v>54.12719891745602</v>
      </c>
      <c r="K32" s="12">
        <v>1.833333333333333</v>
      </c>
      <c r="L32" s="2">
        <f t="shared" si="0"/>
        <v>8.6082802547770694</v>
      </c>
      <c r="M32" s="3"/>
      <c r="N32" s="3" t="s">
        <v>11</v>
      </c>
      <c r="O32" s="3" t="s">
        <v>12</v>
      </c>
      <c r="P32" s="3" t="s">
        <v>10</v>
      </c>
      <c r="Q32" s="3">
        <v>6363</v>
      </c>
      <c r="R32" s="12">
        <v>7.583333333333333</v>
      </c>
      <c r="S32" s="12">
        <v>1</v>
      </c>
    </row>
    <row r="33" spans="1:19" x14ac:dyDescent="0.3">
      <c r="A33" s="3" t="s">
        <v>10</v>
      </c>
      <c r="B33" s="3">
        <v>6363</v>
      </c>
      <c r="C33" s="3" t="s">
        <v>11</v>
      </c>
      <c r="D33" s="3" t="s">
        <v>50</v>
      </c>
      <c r="E33" s="7">
        <v>438</v>
      </c>
      <c r="F33" s="7">
        <v>413</v>
      </c>
      <c r="G33" s="7">
        <v>25</v>
      </c>
      <c r="H33" s="7">
        <v>439</v>
      </c>
      <c r="I33" s="7">
        <v>277</v>
      </c>
      <c r="J33" s="11">
        <v>47.092360319270242</v>
      </c>
      <c r="K33" s="12">
        <v>1.166666666666667</v>
      </c>
      <c r="L33" s="2">
        <f t="shared" si="0"/>
        <v>9.0283687943262407</v>
      </c>
      <c r="M33" s="3"/>
      <c r="N33" s="3" t="s">
        <v>11</v>
      </c>
      <c r="O33" s="3" t="s">
        <v>47</v>
      </c>
      <c r="P33" s="3" t="s">
        <v>10</v>
      </c>
      <c r="Q33" s="3">
        <v>6363</v>
      </c>
      <c r="R33" s="12">
        <v>7.0142180094786726</v>
      </c>
      <c r="S33" s="12">
        <v>1</v>
      </c>
    </row>
    <row r="34" spans="1:19" x14ac:dyDescent="0.3">
      <c r="A34" s="3" t="s">
        <v>10</v>
      </c>
      <c r="B34" s="3">
        <v>6363</v>
      </c>
      <c r="C34" s="3" t="s">
        <v>11</v>
      </c>
      <c r="D34" s="3" t="s">
        <v>28</v>
      </c>
      <c r="E34" s="7">
        <v>392</v>
      </c>
      <c r="F34" s="7">
        <v>378</v>
      </c>
      <c r="G34" s="7">
        <v>14</v>
      </c>
      <c r="H34" s="7">
        <v>384</v>
      </c>
      <c r="I34" s="7">
        <v>245</v>
      </c>
      <c r="J34" s="11">
        <v>48.711340206185568</v>
      </c>
      <c r="K34" s="12">
        <v>1.5</v>
      </c>
      <c r="L34" s="2">
        <f t="shared" si="0"/>
        <v>9.01</v>
      </c>
      <c r="M34" s="3"/>
      <c r="N34" s="3" t="s">
        <v>11</v>
      </c>
      <c r="O34" s="3" t="s">
        <v>41</v>
      </c>
      <c r="P34" s="3" t="s">
        <v>10</v>
      </c>
      <c r="Q34" s="3">
        <v>6363</v>
      </c>
      <c r="R34" s="12">
        <v>7.7283950617283947</v>
      </c>
      <c r="S34" s="12">
        <v>1.033333333333333</v>
      </c>
    </row>
    <row r="35" spans="1:19" x14ac:dyDescent="0.3">
      <c r="A35" s="3" t="s">
        <v>10</v>
      </c>
      <c r="B35" s="3">
        <v>6363</v>
      </c>
      <c r="C35" s="3" t="s">
        <v>11</v>
      </c>
      <c r="D35" s="3" t="s">
        <v>44</v>
      </c>
      <c r="E35" s="7">
        <v>334</v>
      </c>
      <c r="F35" s="7">
        <v>301</v>
      </c>
      <c r="G35" s="7">
        <v>33</v>
      </c>
      <c r="H35" s="7">
        <v>311</v>
      </c>
      <c r="I35" s="7">
        <v>213</v>
      </c>
      <c r="J35" s="11">
        <v>46.666666666666657</v>
      </c>
      <c r="K35" s="12">
        <v>1.166666666666667</v>
      </c>
      <c r="L35" s="2">
        <f t="shared" si="0"/>
        <v>8.5560975609756103</v>
      </c>
      <c r="M35" s="3"/>
      <c r="N35" s="3" t="s">
        <v>11</v>
      </c>
      <c r="O35" s="3" t="s">
        <v>50</v>
      </c>
      <c r="P35" s="3" t="s">
        <v>10</v>
      </c>
      <c r="Q35" s="3">
        <v>6363</v>
      </c>
      <c r="R35" s="12">
        <v>9.0283687943262407</v>
      </c>
      <c r="S35" s="12">
        <v>1.166666666666667</v>
      </c>
    </row>
    <row r="36" spans="1:19" x14ac:dyDescent="0.3">
      <c r="A36" s="3" t="s">
        <v>10</v>
      </c>
      <c r="B36" s="3">
        <v>6363</v>
      </c>
      <c r="C36" s="3" t="s">
        <v>11</v>
      </c>
      <c r="D36" s="3" t="s">
        <v>15</v>
      </c>
      <c r="E36" s="7">
        <v>270</v>
      </c>
      <c r="F36" s="7">
        <v>258</v>
      </c>
      <c r="G36" s="7">
        <v>12</v>
      </c>
      <c r="H36" s="7">
        <v>305</v>
      </c>
      <c r="I36" s="7">
        <v>180</v>
      </c>
      <c r="J36" s="11">
        <v>44.869565217391298</v>
      </c>
      <c r="K36" s="12">
        <v>1</v>
      </c>
      <c r="L36" s="2">
        <f t="shared" si="0"/>
        <v>9.5465838509316772</v>
      </c>
      <c r="M36" s="3"/>
      <c r="N36" s="3" t="s">
        <v>11</v>
      </c>
      <c r="O36" s="3" t="s">
        <v>43</v>
      </c>
      <c r="P36" s="3" t="s">
        <v>10</v>
      </c>
      <c r="Q36" s="3">
        <v>6363</v>
      </c>
      <c r="R36" s="12">
        <v>8</v>
      </c>
      <c r="S36" s="12">
        <v>3.666666666666667</v>
      </c>
    </row>
    <row r="37" spans="1:19" x14ac:dyDescent="0.3">
      <c r="A37" s="3" t="s">
        <v>10</v>
      </c>
      <c r="B37" s="3">
        <v>6363</v>
      </c>
      <c r="C37" s="3" t="s">
        <v>11</v>
      </c>
      <c r="D37" s="3" t="s">
        <v>25</v>
      </c>
      <c r="E37" s="7">
        <v>229</v>
      </c>
      <c r="F37" s="7">
        <v>207</v>
      </c>
      <c r="G37" s="7">
        <v>22</v>
      </c>
      <c r="H37" s="7">
        <v>285</v>
      </c>
      <c r="I37" s="7">
        <v>141</v>
      </c>
      <c r="J37" s="11">
        <v>40.27237354085603</v>
      </c>
      <c r="K37" s="12">
        <v>1.0666666666666671</v>
      </c>
      <c r="L37" s="2">
        <f t="shared" si="0"/>
        <v>8.7043478260869573</v>
      </c>
      <c r="M37" s="3"/>
      <c r="N37" s="3" t="s">
        <v>11</v>
      </c>
      <c r="O37" s="3" t="s">
        <v>36</v>
      </c>
      <c r="P37" s="3" t="s">
        <v>10</v>
      </c>
      <c r="Q37" s="3">
        <v>6363</v>
      </c>
      <c r="R37" s="12">
        <v>8.4909090909090903</v>
      </c>
      <c r="S37" s="12">
        <v>3.0666666666666669</v>
      </c>
    </row>
    <row r="38" spans="1:19" x14ac:dyDescent="0.3">
      <c r="A38" s="3" t="s">
        <v>10</v>
      </c>
      <c r="B38" s="3">
        <v>6363</v>
      </c>
      <c r="C38" s="3" t="s">
        <v>11</v>
      </c>
      <c r="D38" s="3" t="s">
        <v>30</v>
      </c>
      <c r="E38" s="7">
        <v>126</v>
      </c>
      <c r="F38" s="7">
        <v>114</v>
      </c>
      <c r="G38" s="7">
        <v>12</v>
      </c>
      <c r="H38" s="7">
        <v>107</v>
      </c>
      <c r="I38" s="7">
        <v>77</v>
      </c>
      <c r="J38" s="11">
        <v>48.927038626609438</v>
      </c>
      <c r="K38" s="12">
        <v>1.1333333333333331</v>
      </c>
      <c r="L38" s="2">
        <f t="shared" si="0"/>
        <v>10.410256410256411</v>
      </c>
      <c r="M38" s="3"/>
      <c r="N38" s="3" t="s">
        <v>11</v>
      </c>
      <c r="O38" s="3" t="s">
        <v>25</v>
      </c>
      <c r="P38" s="3" t="s">
        <v>10</v>
      </c>
      <c r="Q38" s="3">
        <v>6363</v>
      </c>
      <c r="R38" s="12">
        <v>8.7043478260869573</v>
      </c>
      <c r="S38" s="12">
        <v>1.0666666666666671</v>
      </c>
    </row>
    <row r="39" spans="1:19" x14ac:dyDescent="0.3">
      <c r="A39" s="3" t="s">
        <v>10</v>
      </c>
      <c r="B39" s="3">
        <v>6363</v>
      </c>
      <c r="C39" s="3" t="s">
        <v>11</v>
      </c>
      <c r="D39" s="3" t="s">
        <v>53</v>
      </c>
      <c r="E39" s="7">
        <v>99</v>
      </c>
      <c r="F39" s="7">
        <v>98</v>
      </c>
      <c r="G39" s="7">
        <v>1</v>
      </c>
      <c r="H39" s="7">
        <v>57</v>
      </c>
      <c r="I39" s="7">
        <v>78</v>
      </c>
      <c r="J39" s="11">
        <v>62.820512820512818</v>
      </c>
      <c r="K39" s="12">
        <v>1.5666666666666671</v>
      </c>
      <c r="L39" s="2">
        <f t="shared" si="0"/>
        <v>10.514285714285711</v>
      </c>
      <c r="M39" s="3"/>
      <c r="N39" s="3" t="s">
        <v>11</v>
      </c>
      <c r="O39" s="3" t="s">
        <v>26</v>
      </c>
      <c r="P39" s="3" t="s">
        <v>10</v>
      </c>
      <c r="Q39" s="3">
        <v>6363</v>
      </c>
      <c r="R39" s="12">
        <v>9.1124121779859486</v>
      </c>
      <c r="S39" s="12">
        <v>3.1333333333333329</v>
      </c>
    </row>
    <row r="40" spans="1:19" x14ac:dyDescent="0.3">
      <c r="A40" s="3" t="s">
        <v>10</v>
      </c>
      <c r="B40" s="3">
        <v>6363</v>
      </c>
      <c r="C40" s="3" t="s">
        <v>11</v>
      </c>
      <c r="D40" s="3" t="s">
        <v>34</v>
      </c>
      <c r="E40" s="7">
        <v>90</v>
      </c>
      <c r="F40" s="7">
        <v>86</v>
      </c>
      <c r="G40" s="7">
        <v>4</v>
      </c>
      <c r="H40" s="7">
        <v>60</v>
      </c>
      <c r="I40" s="7">
        <v>67</v>
      </c>
      <c r="J40" s="11">
        <v>57.333333333333343</v>
      </c>
      <c r="K40" s="12">
        <v>1.8</v>
      </c>
      <c r="L40" s="2">
        <f t="shared" si="0"/>
        <v>10.898305084745759</v>
      </c>
      <c r="M40" s="3"/>
      <c r="N40" s="3" t="s">
        <v>11</v>
      </c>
      <c r="O40" s="3" t="s">
        <v>18</v>
      </c>
      <c r="P40" s="3" t="s">
        <v>10</v>
      </c>
      <c r="Q40" s="3">
        <v>6363</v>
      </c>
      <c r="R40" s="12">
        <v>8.2941176470588243</v>
      </c>
      <c r="S40" s="12">
        <v>3.5</v>
      </c>
    </row>
    <row r="41" spans="1:19" x14ac:dyDescent="0.3">
      <c r="A41" s="3" t="s">
        <v>10</v>
      </c>
      <c r="B41" s="3">
        <v>6363</v>
      </c>
      <c r="C41" s="3" t="s">
        <v>11</v>
      </c>
      <c r="D41" s="3" t="s">
        <v>52</v>
      </c>
      <c r="E41" s="7">
        <v>66</v>
      </c>
      <c r="F41" s="7">
        <v>63</v>
      </c>
      <c r="G41" s="7">
        <v>3</v>
      </c>
      <c r="H41" s="7">
        <v>87</v>
      </c>
      <c r="I41" s="7">
        <v>43</v>
      </c>
      <c r="J41" s="11">
        <v>41.176470588235297</v>
      </c>
      <c r="K41" s="12">
        <v>2.2999999999999998</v>
      </c>
      <c r="L41" s="2">
        <f t="shared" si="0"/>
        <v>13.69230769230769</v>
      </c>
      <c r="M41" s="3"/>
      <c r="N41" s="3" t="s">
        <v>11</v>
      </c>
      <c r="O41" s="3" t="s">
        <v>51</v>
      </c>
      <c r="P41" s="3" t="s">
        <v>10</v>
      </c>
      <c r="Q41" s="3">
        <v>6363</v>
      </c>
      <c r="R41" s="12">
        <v>8.3403141361256541</v>
      </c>
      <c r="S41" s="12">
        <v>3.1333333333333329</v>
      </c>
    </row>
    <row r="42" spans="1:19" x14ac:dyDescent="0.3">
      <c r="A42" s="3" t="s">
        <v>10</v>
      </c>
      <c r="B42" s="3">
        <v>6363</v>
      </c>
      <c r="C42" s="3" t="s">
        <v>11</v>
      </c>
      <c r="D42" s="3" t="s">
        <v>37</v>
      </c>
      <c r="E42" s="7">
        <v>46</v>
      </c>
      <c r="F42" s="7">
        <v>46</v>
      </c>
      <c r="G42" s="7">
        <v>0</v>
      </c>
      <c r="H42" s="7">
        <v>42</v>
      </c>
      <c r="I42" s="7">
        <v>42</v>
      </c>
      <c r="J42" s="11">
        <v>52.272727272727273</v>
      </c>
      <c r="K42" s="12">
        <v>3.2</v>
      </c>
      <c r="L42" s="2">
        <f t="shared" si="0"/>
        <v>13.025</v>
      </c>
      <c r="M42" s="3"/>
      <c r="N42" s="3" t="s">
        <v>11</v>
      </c>
      <c r="O42" s="3" t="s">
        <v>15</v>
      </c>
      <c r="P42" s="3" t="s">
        <v>10</v>
      </c>
      <c r="Q42" s="3">
        <v>6363</v>
      </c>
      <c r="R42" s="12">
        <v>9.5465838509316772</v>
      </c>
      <c r="S42" s="12">
        <v>1</v>
      </c>
    </row>
    <row r="43" spans="1:19" x14ac:dyDescent="0.3">
      <c r="A43" s="3" t="s">
        <v>10</v>
      </c>
      <c r="B43" s="3">
        <v>6363</v>
      </c>
      <c r="C43" s="3" t="s">
        <v>11</v>
      </c>
      <c r="D43" s="3" t="s">
        <v>42</v>
      </c>
      <c r="E43" s="7">
        <v>43</v>
      </c>
      <c r="F43" s="7">
        <v>43</v>
      </c>
      <c r="G43" s="7">
        <v>0</v>
      </c>
      <c r="H43" s="7">
        <v>20</v>
      </c>
      <c r="I43" s="7">
        <v>36</v>
      </c>
      <c r="J43" s="11">
        <v>68.253968253968253</v>
      </c>
      <c r="K43" s="12">
        <v>4.7333333333333334</v>
      </c>
      <c r="L43" s="2">
        <f t="shared" si="0"/>
        <v>9.24</v>
      </c>
      <c r="M43" s="3"/>
      <c r="N43" s="3" t="s">
        <v>11</v>
      </c>
      <c r="O43" s="3" t="s">
        <v>52</v>
      </c>
      <c r="P43" s="3" t="s">
        <v>10</v>
      </c>
      <c r="Q43" s="3">
        <v>6363</v>
      </c>
      <c r="R43" s="12">
        <v>13.69230769230769</v>
      </c>
      <c r="S43" s="12">
        <v>2.2999999999999998</v>
      </c>
    </row>
    <row r="44" spans="1:19" x14ac:dyDescent="0.3">
      <c r="A44" s="3" t="s">
        <v>10</v>
      </c>
      <c r="B44" s="3">
        <v>6363</v>
      </c>
      <c r="C44" s="3" t="s">
        <v>11</v>
      </c>
      <c r="D44" s="3" t="s">
        <v>49</v>
      </c>
      <c r="E44" s="7">
        <v>13</v>
      </c>
      <c r="F44" s="7">
        <v>13</v>
      </c>
      <c r="G44" s="7">
        <v>0</v>
      </c>
      <c r="H44" s="7">
        <v>8</v>
      </c>
      <c r="I44" s="7">
        <v>8</v>
      </c>
      <c r="J44" s="11">
        <v>61.904761904761912</v>
      </c>
      <c r="K44" s="12">
        <v>5.7333333333333334</v>
      </c>
      <c r="L44" s="2">
        <f t="shared" si="0"/>
        <v>20</v>
      </c>
      <c r="M44" s="3"/>
      <c r="N44" s="3" t="s">
        <v>11</v>
      </c>
      <c r="O44" s="3" t="s">
        <v>53</v>
      </c>
      <c r="P44" s="3" t="s">
        <v>10</v>
      </c>
      <c r="Q44" s="3">
        <v>6363</v>
      </c>
      <c r="R44" s="12">
        <v>10.514285714285711</v>
      </c>
      <c r="S44" s="12">
        <v>1.5666666666666671</v>
      </c>
    </row>
  </sheetData>
  <sortState xmlns:xlrd2="http://schemas.microsoft.com/office/spreadsheetml/2017/richdata2" ref="A2:L44">
    <sortCondition ref="B2:B44"/>
    <sortCondition ref="C2:C44"/>
    <sortCondition ref="D2:D44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44CB-181D-4B52-8B41-A470C01567DB}">
  <dimension ref="A1:M44"/>
  <sheetViews>
    <sheetView tabSelected="1" topLeftCell="A16" zoomScale="85" zoomScaleNormal="85" workbookViewId="0">
      <selection activeCell="Z46" sqref="Z46"/>
    </sheetView>
  </sheetViews>
  <sheetFormatPr defaultRowHeight="16.5" x14ac:dyDescent="0.3"/>
  <cols>
    <col min="1" max="1" width="9" style="2"/>
    <col min="2" max="2" width="9" style="14"/>
    <col min="3" max="3" width="9" style="5"/>
    <col min="6" max="6" width="9" style="2"/>
    <col min="7" max="7" width="9" style="13"/>
    <col min="8" max="8" width="9" style="14"/>
    <col min="11" max="11" width="9" style="2"/>
    <col min="12" max="12" width="9" style="13"/>
    <col min="13" max="13" width="9" style="5"/>
  </cols>
  <sheetData>
    <row r="1" spans="1:13" x14ac:dyDescent="0.3">
      <c r="A1" s="1" t="s">
        <v>3</v>
      </c>
      <c r="B1" s="10" t="s">
        <v>60</v>
      </c>
      <c r="C1" s="4" t="s">
        <v>61</v>
      </c>
      <c r="F1" s="1" t="s">
        <v>3</v>
      </c>
      <c r="G1" s="9" t="s">
        <v>59</v>
      </c>
      <c r="H1" s="10" t="s">
        <v>60</v>
      </c>
      <c r="K1" s="1" t="s">
        <v>3</v>
      </c>
      <c r="L1" s="9" t="s">
        <v>59</v>
      </c>
      <c r="M1" s="4" t="s">
        <v>61</v>
      </c>
    </row>
    <row r="2" spans="1:13" x14ac:dyDescent="0.3">
      <c r="A2" s="3" t="s">
        <v>24</v>
      </c>
      <c r="B2" s="12">
        <v>2.4666666666666668</v>
      </c>
      <c r="C2" s="5">
        <v>13.71428571428571</v>
      </c>
      <c r="F2" s="3" t="s">
        <v>24</v>
      </c>
      <c r="G2" s="11">
        <v>33.333333333333343</v>
      </c>
      <c r="H2" s="12">
        <v>2.4666666666666668</v>
      </c>
      <c r="K2" s="3" t="s">
        <v>24</v>
      </c>
      <c r="L2" s="11">
        <v>33.333333333333343</v>
      </c>
      <c r="M2" s="5">
        <v>13.71428571428571</v>
      </c>
    </row>
    <row r="3" spans="1:13" x14ac:dyDescent="0.3">
      <c r="A3" s="3" t="s">
        <v>35</v>
      </c>
      <c r="B3" s="12">
        <v>3.4666666666666668</v>
      </c>
      <c r="C3" s="5">
        <v>16.375</v>
      </c>
      <c r="F3" s="3" t="s">
        <v>35</v>
      </c>
      <c r="G3" s="11">
        <v>68.75</v>
      </c>
      <c r="H3" s="12">
        <v>3.4666666666666668</v>
      </c>
      <c r="K3" s="3" t="s">
        <v>35</v>
      </c>
      <c r="L3" s="11">
        <v>68.75</v>
      </c>
      <c r="M3" s="5">
        <v>16.375</v>
      </c>
    </row>
    <row r="4" spans="1:13" x14ac:dyDescent="0.3">
      <c r="A4" s="3" t="s">
        <v>23</v>
      </c>
      <c r="B4" s="12">
        <v>2.7333333333333329</v>
      </c>
      <c r="C4" s="5">
        <v>10</v>
      </c>
      <c r="F4" s="3" t="s">
        <v>23</v>
      </c>
      <c r="G4" s="11">
        <v>67.647058823529406</v>
      </c>
      <c r="H4" s="12">
        <v>2.7333333333333329</v>
      </c>
      <c r="K4" s="3" t="s">
        <v>23</v>
      </c>
      <c r="L4" s="11">
        <v>67.647058823529406</v>
      </c>
      <c r="M4" s="5">
        <v>10</v>
      </c>
    </row>
    <row r="5" spans="1:13" x14ac:dyDescent="0.3">
      <c r="A5" s="3" t="s">
        <v>18</v>
      </c>
      <c r="B5" s="12">
        <v>3.5</v>
      </c>
      <c r="C5" s="5">
        <v>8.2941176470588243</v>
      </c>
      <c r="F5" s="3" t="s">
        <v>18</v>
      </c>
      <c r="G5" s="11">
        <v>66.666666666666671</v>
      </c>
      <c r="H5" s="12">
        <v>3.5</v>
      </c>
      <c r="K5" s="3" t="s">
        <v>18</v>
      </c>
      <c r="L5" s="11">
        <v>66.666666666666671</v>
      </c>
      <c r="M5" s="5">
        <v>8.2941176470588243</v>
      </c>
    </row>
    <row r="6" spans="1:13" x14ac:dyDescent="0.3">
      <c r="A6" s="3" t="s">
        <v>48</v>
      </c>
      <c r="B6" s="12">
        <v>3.166666666666667</v>
      </c>
      <c r="C6" s="5">
        <v>7.5405405405405403</v>
      </c>
      <c r="F6" s="3" t="s">
        <v>48</v>
      </c>
      <c r="G6" s="11">
        <v>52.173913043478258</v>
      </c>
      <c r="H6" s="12">
        <v>3.166666666666667</v>
      </c>
      <c r="K6" s="3" t="s">
        <v>48</v>
      </c>
      <c r="L6" s="11">
        <v>52.173913043478258</v>
      </c>
      <c r="M6" s="5">
        <v>7.5405405405405403</v>
      </c>
    </row>
    <row r="7" spans="1:13" x14ac:dyDescent="0.3">
      <c r="A7" s="3" t="s">
        <v>36</v>
      </c>
      <c r="B7" s="12">
        <v>3.0666666666666669</v>
      </c>
      <c r="C7" s="5">
        <v>8.4909090909090903</v>
      </c>
      <c r="F7" s="3" t="s">
        <v>36</v>
      </c>
      <c r="G7" s="11">
        <v>48.275862068965523</v>
      </c>
      <c r="H7" s="12">
        <v>3.0666666666666669</v>
      </c>
      <c r="K7" s="3" t="s">
        <v>36</v>
      </c>
      <c r="L7" s="11">
        <v>48.275862068965523</v>
      </c>
      <c r="M7" s="5">
        <v>8.4909090909090903</v>
      </c>
    </row>
    <row r="8" spans="1:13" x14ac:dyDescent="0.3">
      <c r="A8" s="3" t="s">
        <v>17</v>
      </c>
      <c r="B8" s="12">
        <v>1.9333333333333329</v>
      </c>
      <c r="C8" s="5">
        <v>10.492537313432839</v>
      </c>
      <c r="F8" s="3" t="s">
        <v>17</v>
      </c>
      <c r="G8" s="11">
        <v>65.573770491803273</v>
      </c>
      <c r="H8" s="12">
        <v>1.9333333333333329</v>
      </c>
      <c r="K8" s="3" t="s">
        <v>17</v>
      </c>
      <c r="L8" s="11">
        <v>65.573770491803273</v>
      </c>
      <c r="M8" s="5">
        <v>10.492537313432839</v>
      </c>
    </row>
    <row r="9" spans="1:13" x14ac:dyDescent="0.3">
      <c r="A9" s="3" t="s">
        <v>43</v>
      </c>
      <c r="B9" s="12">
        <v>3.666666666666667</v>
      </c>
      <c r="C9" s="5">
        <v>8</v>
      </c>
      <c r="F9" s="3" t="s">
        <v>43</v>
      </c>
      <c r="G9" s="11">
        <v>59.171597633136088</v>
      </c>
      <c r="H9" s="12">
        <v>3.666666666666667</v>
      </c>
      <c r="K9" s="3" t="s">
        <v>43</v>
      </c>
      <c r="L9" s="11">
        <v>59.171597633136088</v>
      </c>
      <c r="M9" s="5">
        <v>8</v>
      </c>
    </row>
    <row r="10" spans="1:13" x14ac:dyDescent="0.3">
      <c r="A10" s="3" t="s">
        <v>14</v>
      </c>
      <c r="B10" s="12">
        <v>4.0333333333333332</v>
      </c>
      <c r="C10" s="5">
        <v>9.116504854368932</v>
      </c>
      <c r="F10" s="3" t="s">
        <v>14</v>
      </c>
      <c r="G10" s="11">
        <v>43.109540636042396</v>
      </c>
      <c r="H10" s="12">
        <v>4.0333333333333332</v>
      </c>
      <c r="K10" s="3" t="s">
        <v>14</v>
      </c>
      <c r="L10" s="11">
        <v>43.109540636042396</v>
      </c>
      <c r="M10" s="5">
        <v>9.116504854368932</v>
      </c>
    </row>
    <row r="11" spans="1:13" x14ac:dyDescent="0.3">
      <c r="A11" s="3" t="s">
        <v>22</v>
      </c>
      <c r="B11" s="12">
        <v>3.3</v>
      </c>
      <c r="C11" s="5">
        <v>7.3017751479289954</v>
      </c>
      <c r="F11" s="3" t="s">
        <v>22</v>
      </c>
      <c r="G11" s="11">
        <v>55.172413793103438</v>
      </c>
      <c r="H11" s="12">
        <v>3.3</v>
      </c>
      <c r="K11" s="3" t="s">
        <v>22</v>
      </c>
      <c r="L11" s="11">
        <v>55.172413793103438</v>
      </c>
      <c r="M11" s="5">
        <v>7.3017751479289954</v>
      </c>
    </row>
    <row r="12" spans="1:13" x14ac:dyDescent="0.3">
      <c r="A12" s="3" t="s">
        <v>46</v>
      </c>
      <c r="B12" s="12">
        <v>3.333333333333333</v>
      </c>
      <c r="C12" s="5">
        <v>8.094736842105263</v>
      </c>
      <c r="F12" s="3" t="s">
        <v>46</v>
      </c>
      <c r="G12" s="11">
        <v>47.527472527472533</v>
      </c>
      <c r="H12" s="12">
        <v>3.333333333333333</v>
      </c>
      <c r="K12" s="3" t="s">
        <v>46</v>
      </c>
      <c r="L12" s="11">
        <v>47.527472527472533</v>
      </c>
      <c r="M12" s="5">
        <v>8.094736842105263</v>
      </c>
    </row>
    <row r="13" spans="1:13" x14ac:dyDescent="0.3">
      <c r="A13" s="3" t="s">
        <v>19</v>
      </c>
      <c r="B13" s="12">
        <v>2.9</v>
      </c>
      <c r="C13" s="5">
        <v>7.5894308943089426</v>
      </c>
      <c r="F13" s="3" t="s">
        <v>19</v>
      </c>
      <c r="G13" s="11">
        <v>48.587570621468927</v>
      </c>
      <c r="H13" s="12">
        <v>2.9</v>
      </c>
      <c r="K13" s="3" t="s">
        <v>19</v>
      </c>
      <c r="L13" s="11">
        <v>48.587570621468927</v>
      </c>
      <c r="M13" s="5">
        <v>7.5894308943089426</v>
      </c>
    </row>
    <row r="14" spans="1:13" x14ac:dyDescent="0.3">
      <c r="A14" s="3" t="s">
        <v>41</v>
      </c>
      <c r="B14" s="12">
        <v>1.033333333333333</v>
      </c>
      <c r="C14" s="5">
        <v>7.7283950617283947</v>
      </c>
      <c r="F14" s="3" t="s">
        <v>41</v>
      </c>
      <c r="G14" s="11">
        <v>54.954954954954957</v>
      </c>
      <c r="H14" s="12">
        <v>1.033333333333333</v>
      </c>
      <c r="K14" s="3" t="s">
        <v>41</v>
      </c>
      <c r="L14" s="11">
        <v>54.954954954954957</v>
      </c>
      <c r="M14" s="5">
        <v>7.7283950617283947</v>
      </c>
    </row>
    <row r="15" spans="1:13" x14ac:dyDescent="0.3">
      <c r="A15" s="3" t="s">
        <v>47</v>
      </c>
      <c r="B15" s="12">
        <v>1</v>
      </c>
      <c r="C15" s="5">
        <v>7.0142180094786726</v>
      </c>
      <c r="F15" s="3" t="s">
        <v>47</v>
      </c>
      <c r="G15" s="11">
        <v>55.158730158730158</v>
      </c>
      <c r="H15" s="12">
        <v>1</v>
      </c>
      <c r="K15" s="3" t="s">
        <v>47</v>
      </c>
      <c r="L15" s="11">
        <v>55.158730158730158</v>
      </c>
      <c r="M15" s="5">
        <v>7.0142180094786726</v>
      </c>
    </row>
    <row r="16" spans="1:13" x14ac:dyDescent="0.3">
      <c r="A16" s="3" t="s">
        <v>12</v>
      </c>
      <c r="B16" s="12">
        <v>1</v>
      </c>
      <c r="C16" s="5">
        <v>7.583333333333333</v>
      </c>
      <c r="F16" s="3" t="s">
        <v>12</v>
      </c>
      <c r="G16" s="11">
        <v>56.198347107438018</v>
      </c>
      <c r="H16" s="12">
        <v>1</v>
      </c>
      <c r="K16" s="3" t="s">
        <v>12</v>
      </c>
      <c r="L16" s="11">
        <v>56.198347107438018</v>
      </c>
      <c r="M16" s="5">
        <v>7.583333333333333</v>
      </c>
    </row>
    <row r="17" spans="1:13" x14ac:dyDescent="0.3">
      <c r="A17" s="3" t="s">
        <v>13</v>
      </c>
      <c r="B17" s="12">
        <v>1</v>
      </c>
      <c r="C17" s="5">
        <v>7.1851851851851851</v>
      </c>
      <c r="F17" s="3" t="s">
        <v>13</v>
      </c>
      <c r="G17" s="11">
        <v>47.747747747747738</v>
      </c>
      <c r="H17" s="12">
        <v>1</v>
      </c>
      <c r="K17" s="3" t="s">
        <v>13</v>
      </c>
      <c r="L17" s="11">
        <v>47.747747747747738</v>
      </c>
      <c r="M17" s="5">
        <v>7.1851851851851851</v>
      </c>
    </row>
    <row r="18" spans="1:13" x14ac:dyDescent="0.3">
      <c r="A18" s="3" t="s">
        <v>16</v>
      </c>
      <c r="B18" s="12">
        <v>1</v>
      </c>
      <c r="C18" s="5">
        <v>7.1140939597315436</v>
      </c>
      <c r="F18" s="3" t="s">
        <v>16</v>
      </c>
      <c r="G18" s="11">
        <v>58.544303797468352</v>
      </c>
      <c r="H18" s="12">
        <v>1</v>
      </c>
      <c r="K18" s="3" t="s">
        <v>16</v>
      </c>
      <c r="L18" s="11">
        <v>58.544303797468352</v>
      </c>
      <c r="M18" s="5">
        <v>7.1140939597315436</v>
      </c>
    </row>
    <row r="19" spans="1:13" x14ac:dyDescent="0.3">
      <c r="A19" s="3" t="s">
        <v>54</v>
      </c>
      <c r="B19" s="12">
        <v>1</v>
      </c>
      <c r="C19" s="5">
        <v>7.5419354838709678</v>
      </c>
      <c r="F19" s="3" t="s">
        <v>54</v>
      </c>
      <c r="G19" s="11">
        <v>51.19825708061002</v>
      </c>
      <c r="H19" s="12">
        <v>1</v>
      </c>
      <c r="K19" s="3" t="s">
        <v>54</v>
      </c>
      <c r="L19" s="11">
        <v>51.19825708061002</v>
      </c>
      <c r="M19" s="5">
        <v>7.5419354838709678</v>
      </c>
    </row>
    <row r="20" spans="1:13" x14ac:dyDescent="0.3">
      <c r="A20" s="3" t="s">
        <v>33</v>
      </c>
      <c r="B20" s="12">
        <v>4.1333333333333337</v>
      </c>
      <c r="C20" s="5">
        <v>7.580645161290323</v>
      </c>
      <c r="F20" s="3" t="s">
        <v>33</v>
      </c>
      <c r="G20" s="11">
        <v>58.45272206303725</v>
      </c>
      <c r="H20" s="12">
        <v>4.1333333333333337</v>
      </c>
      <c r="K20" s="3" t="s">
        <v>33</v>
      </c>
      <c r="L20" s="11">
        <v>58.45272206303725</v>
      </c>
      <c r="M20" s="5">
        <v>7.580645161290323</v>
      </c>
    </row>
    <row r="21" spans="1:13" x14ac:dyDescent="0.3">
      <c r="A21" s="3" t="s">
        <v>31</v>
      </c>
      <c r="B21" s="12">
        <v>3.833333333333333</v>
      </c>
      <c r="C21" s="5">
        <v>7.9245283018867916</v>
      </c>
      <c r="F21" s="3" t="s">
        <v>31</v>
      </c>
      <c r="G21" s="11">
        <v>46.407766990291258</v>
      </c>
      <c r="H21" s="12">
        <v>3.833333333333333</v>
      </c>
      <c r="K21" s="3" t="s">
        <v>31</v>
      </c>
      <c r="L21" s="11">
        <v>46.407766990291258</v>
      </c>
      <c r="M21" s="5">
        <v>7.9245283018867916</v>
      </c>
    </row>
    <row r="22" spans="1:13" x14ac:dyDescent="0.3">
      <c r="A22" s="3" t="s">
        <v>27</v>
      </c>
      <c r="B22" s="12">
        <v>3.8</v>
      </c>
      <c r="C22" s="5">
        <v>7.6464088397790064</v>
      </c>
      <c r="F22" s="3" t="s">
        <v>27</v>
      </c>
      <c r="G22" s="11">
        <v>54.166666666666657</v>
      </c>
      <c r="H22" s="12">
        <v>3.8</v>
      </c>
      <c r="K22" s="3" t="s">
        <v>27</v>
      </c>
      <c r="L22" s="11">
        <v>54.166666666666657</v>
      </c>
      <c r="M22" s="5">
        <v>7.6464088397790064</v>
      </c>
    </row>
    <row r="23" spans="1:13" x14ac:dyDescent="0.3">
      <c r="A23" s="3" t="s">
        <v>45</v>
      </c>
      <c r="B23" s="12">
        <v>1.9333333333333329</v>
      </c>
      <c r="C23" s="5">
        <v>7.6840000000000002</v>
      </c>
      <c r="F23" s="3" t="s">
        <v>45</v>
      </c>
      <c r="G23" s="11">
        <v>49.705014749262538</v>
      </c>
      <c r="H23" s="12">
        <v>1.9333333333333329</v>
      </c>
      <c r="K23" s="3" t="s">
        <v>45</v>
      </c>
      <c r="L23" s="11">
        <v>49.705014749262538</v>
      </c>
      <c r="M23" s="5">
        <v>7.6840000000000002</v>
      </c>
    </row>
    <row r="24" spans="1:13" x14ac:dyDescent="0.3">
      <c r="A24" s="3" t="s">
        <v>51</v>
      </c>
      <c r="B24" s="12">
        <v>3.1333333333333329</v>
      </c>
      <c r="C24" s="5">
        <v>8.3403141361256541</v>
      </c>
      <c r="F24" s="3" t="s">
        <v>51</v>
      </c>
      <c r="G24" s="11">
        <v>49.528795811518322</v>
      </c>
      <c r="H24" s="12">
        <v>3.1333333333333329</v>
      </c>
      <c r="K24" s="3" t="s">
        <v>51</v>
      </c>
      <c r="L24" s="11">
        <v>49.528795811518322</v>
      </c>
      <c r="M24" s="5">
        <v>8.3403141361256541</v>
      </c>
    </row>
    <row r="25" spans="1:13" x14ac:dyDescent="0.3">
      <c r="A25" s="3" t="s">
        <v>20</v>
      </c>
      <c r="B25" s="12">
        <v>2.8</v>
      </c>
      <c r="C25" s="5">
        <v>8.7688172043010759</v>
      </c>
      <c r="F25" s="3" t="s">
        <v>20</v>
      </c>
      <c r="G25" s="11">
        <v>43.011332973556392</v>
      </c>
      <c r="H25" s="12">
        <v>2.8</v>
      </c>
      <c r="K25" s="3" t="s">
        <v>20</v>
      </c>
      <c r="L25" s="11">
        <v>43.011332973556392</v>
      </c>
      <c r="M25" s="5">
        <v>8.7688172043010759</v>
      </c>
    </row>
    <row r="26" spans="1:13" x14ac:dyDescent="0.3">
      <c r="A26" s="3" t="s">
        <v>29</v>
      </c>
      <c r="B26" s="12">
        <v>2</v>
      </c>
      <c r="C26" s="5">
        <v>9.5891812865497084</v>
      </c>
      <c r="F26" s="3" t="s">
        <v>29</v>
      </c>
      <c r="G26" s="11">
        <v>40.069466371960843</v>
      </c>
      <c r="H26" s="12">
        <v>2</v>
      </c>
      <c r="K26" s="3" t="s">
        <v>29</v>
      </c>
      <c r="L26" s="11">
        <v>40.069466371960843</v>
      </c>
      <c r="M26" s="5">
        <v>9.5891812865497084</v>
      </c>
    </row>
    <row r="27" spans="1:13" x14ac:dyDescent="0.3">
      <c r="A27" s="3" t="s">
        <v>39</v>
      </c>
      <c r="B27" s="12">
        <v>1.666666666666667</v>
      </c>
      <c r="C27" s="5">
        <v>9.9300476947535774</v>
      </c>
      <c r="F27" s="3" t="s">
        <v>39</v>
      </c>
      <c r="G27" s="11">
        <v>36.36777423759672</v>
      </c>
      <c r="H27" s="12">
        <v>1.666666666666667</v>
      </c>
      <c r="K27" s="3" t="s">
        <v>39</v>
      </c>
      <c r="L27" s="11">
        <v>36.36777423759672</v>
      </c>
      <c r="M27" s="5">
        <v>9.9300476947535774</v>
      </c>
    </row>
    <row r="28" spans="1:13" x14ac:dyDescent="0.3">
      <c r="A28" s="3" t="s">
        <v>21</v>
      </c>
      <c r="B28" s="12">
        <v>1.466666666666667</v>
      </c>
      <c r="C28" s="5">
        <v>9.2888888888888896</v>
      </c>
      <c r="F28" s="3" t="s">
        <v>21</v>
      </c>
      <c r="G28" s="11">
        <v>44.609665427509292</v>
      </c>
      <c r="H28" s="12">
        <v>1.466666666666667</v>
      </c>
      <c r="K28" s="3" t="s">
        <v>21</v>
      </c>
      <c r="L28" s="11">
        <v>44.609665427509292</v>
      </c>
      <c r="M28" s="5">
        <v>9.2888888888888896</v>
      </c>
    </row>
    <row r="29" spans="1:13" x14ac:dyDescent="0.3">
      <c r="A29" s="3" t="s">
        <v>40</v>
      </c>
      <c r="B29" s="12">
        <v>1.4</v>
      </c>
      <c r="C29" s="5">
        <v>8.16796875</v>
      </c>
      <c r="F29" s="3" t="s">
        <v>40</v>
      </c>
      <c r="G29" s="11">
        <v>45.059493016037251</v>
      </c>
      <c r="H29" s="12">
        <v>1.4</v>
      </c>
      <c r="K29" s="3" t="s">
        <v>40</v>
      </c>
      <c r="L29" s="11">
        <v>45.059493016037251</v>
      </c>
      <c r="M29" s="5">
        <v>8.16796875</v>
      </c>
    </row>
    <row r="30" spans="1:13" x14ac:dyDescent="0.3">
      <c r="A30" s="3" t="s">
        <v>26</v>
      </c>
      <c r="B30" s="12">
        <v>3.1333333333333329</v>
      </c>
      <c r="C30" s="5">
        <v>9.1124121779859486</v>
      </c>
      <c r="F30" s="3" t="s">
        <v>26</v>
      </c>
      <c r="G30" s="11">
        <v>48.660084626234131</v>
      </c>
      <c r="H30" s="12">
        <v>3.1333333333333329</v>
      </c>
      <c r="K30" s="3" t="s">
        <v>26</v>
      </c>
      <c r="L30" s="11">
        <v>48.660084626234131</v>
      </c>
      <c r="M30" s="5">
        <v>9.1124121779859486</v>
      </c>
    </row>
    <row r="31" spans="1:13" x14ac:dyDescent="0.3">
      <c r="A31" s="3" t="s">
        <v>32</v>
      </c>
      <c r="B31" s="12">
        <v>2.2999999999999998</v>
      </c>
      <c r="C31" s="5">
        <v>7.8557692307692308</v>
      </c>
      <c r="F31" s="3" t="s">
        <v>32</v>
      </c>
      <c r="G31" s="11">
        <v>47.271126760563376</v>
      </c>
      <c r="H31" s="12">
        <v>2.2999999999999998</v>
      </c>
      <c r="K31" s="3" t="s">
        <v>32</v>
      </c>
      <c r="L31" s="11">
        <v>47.271126760563376</v>
      </c>
      <c r="M31" s="5">
        <v>7.8557692307692308</v>
      </c>
    </row>
    <row r="32" spans="1:13" x14ac:dyDescent="0.3">
      <c r="A32" s="3" t="s">
        <v>38</v>
      </c>
      <c r="B32" s="12">
        <v>1.833333333333333</v>
      </c>
      <c r="C32" s="5">
        <v>8.6082802547770694</v>
      </c>
      <c r="F32" s="3" t="s">
        <v>38</v>
      </c>
      <c r="G32" s="11">
        <v>54.12719891745602</v>
      </c>
      <c r="H32" s="12">
        <v>1.833333333333333</v>
      </c>
      <c r="K32" s="3" t="s">
        <v>38</v>
      </c>
      <c r="L32" s="11">
        <v>54.12719891745602</v>
      </c>
      <c r="M32" s="5">
        <v>8.6082802547770694</v>
      </c>
    </row>
    <row r="33" spans="1:13" x14ac:dyDescent="0.3">
      <c r="A33" s="3" t="s">
        <v>50</v>
      </c>
      <c r="B33" s="12">
        <v>1.166666666666667</v>
      </c>
      <c r="C33" s="5">
        <v>9.0283687943262407</v>
      </c>
      <c r="F33" s="3" t="s">
        <v>50</v>
      </c>
      <c r="G33" s="11">
        <v>47.092360319270242</v>
      </c>
      <c r="H33" s="12">
        <v>1.166666666666667</v>
      </c>
      <c r="K33" s="3" t="s">
        <v>50</v>
      </c>
      <c r="L33" s="11">
        <v>47.092360319270242</v>
      </c>
      <c r="M33" s="5">
        <v>9.0283687943262407</v>
      </c>
    </row>
    <row r="34" spans="1:13" x14ac:dyDescent="0.3">
      <c r="A34" s="3" t="s">
        <v>28</v>
      </c>
      <c r="B34" s="12">
        <v>1.5</v>
      </c>
      <c r="C34" s="5">
        <v>9.01</v>
      </c>
      <c r="F34" s="3" t="s">
        <v>28</v>
      </c>
      <c r="G34" s="11">
        <v>48.711340206185568</v>
      </c>
      <c r="H34" s="12">
        <v>1.5</v>
      </c>
      <c r="K34" s="3" t="s">
        <v>28</v>
      </c>
      <c r="L34" s="11">
        <v>48.711340206185568</v>
      </c>
      <c r="M34" s="5">
        <v>9.01</v>
      </c>
    </row>
    <row r="35" spans="1:13" x14ac:dyDescent="0.3">
      <c r="A35" s="3" t="s">
        <v>44</v>
      </c>
      <c r="B35" s="12">
        <v>1.166666666666667</v>
      </c>
      <c r="C35" s="5">
        <v>8.5560975609756103</v>
      </c>
      <c r="F35" s="3" t="s">
        <v>44</v>
      </c>
      <c r="G35" s="11">
        <v>46.666666666666657</v>
      </c>
      <c r="H35" s="12">
        <v>1.166666666666667</v>
      </c>
      <c r="K35" s="3" t="s">
        <v>44</v>
      </c>
      <c r="L35" s="11">
        <v>46.666666666666657</v>
      </c>
      <c r="M35" s="5">
        <v>8.5560975609756103</v>
      </c>
    </row>
    <row r="36" spans="1:13" x14ac:dyDescent="0.3">
      <c r="A36" s="3" t="s">
        <v>15</v>
      </c>
      <c r="B36" s="12">
        <v>1</v>
      </c>
      <c r="C36" s="5">
        <v>9.5465838509316772</v>
      </c>
      <c r="F36" s="3" t="s">
        <v>15</v>
      </c>
      <c r="G36" s="11">
        <v>44.869565217391298</v>
      </c>
      <c r="H36" s="12">
        <v>1</v>
      </c>
      <c r="K36" s="3" t="s">
        <v>15</v>
      </c>
      <c r="L36" s="11">
        <v>44.869565217391298</v>
      </c>
      <c r="M36" s="5">
        <v>9.5465838509316772</v>
      </c>
    </row>
    <row r="37" spans="1:13" x14ac:dyDescent="0.3">
      <c r="A37" s="3" t="s">
        <v>25</v>
      </c>
      <c r="B37" s="12">
        <v>1.0666666666666671</v>
      </c>
      <c r="C37" s="5">
        <v>8.7043478260869573</v>
      </c>
      <c r="F37" s="3" t="s">
        <v>25</v>
      </c>
      <c r="G37" s="11">
        <v>40.27237354085603</v>
      </c>
      <c r="H37" s="12">
        <v>1.0666666666666671</v>
      </c>
      <c r="K37" s="3" t="s">
        <v>25</v>
      </c>
      <c r="L37" s="11">
        <v>40.27237354085603</v>
      </c>
      <c r="M37" s="5">
        <v>8.7043478260869573</v>
      </c>
    </row>
    <row r="38" spans="1:13" x14ac:dyDescent="0.3">
      <c r="A38" s="3" t="s">
        <v>30</v>
      </c>
      <c r="B38" s="12">
        <v>1.1333333333333331</v>
      </c>
      <c r="C38" s="5">
        <v>10.410256410256411</v>
      </c>
      <c r="F38" s="3" t="s">
        <v>30</v>
      </c>
      <c r="G38" s="11">
        <v>48.927038626609438</v>
      </c>
      <c r="H38" s="12">
        <v>1.1333333333333331</v>
      </c>
      <c r="K38" s="3" t="s">
        <v>30</v>
      </c>
      <c r="L38" s="11">
        <v>48.927038626609438</v>
      </c>
      <c r="M38" s="5">
        <v>10.410256410256411</v>
      </c>
    </row>
    <row r="39" spans="1:13" x14ac:dyDescent="0.3">
      <c r="A39" s="3" t="s">
        <v>53</v>
      </c>
      <c r="B39" s="12">
        <v>1.5666666666666671</v>
      </c>
      <c r="C39" s="5">
        <v>10.514285714285711</v>
      </c>
      <c r="F39" s="3" t="s">
        <v>53</v>
      </c>
      <c r="G39" s="11">
        <v>62.820512820512818</v>
      </c>
      <c r="H39" s="12">
        <v>1.5666666666666671</v>
      </c>
      <c r="K39" s="3" t="s">
        <v>53</v>
      </c>
      <c r="L39" s="11">
        <v>62.820512820512818</v>
      </c>
      <c r="M39" s="5">
        <v>10.514285714285711</v>
      </c>
    </row>
    <row r="40" spans="1:13" x14ac:dyDescent="0.3">
      <c r="A40" s="3" t="s">
        <v>34</v>
      </c>
      <c r="B40" s="12">
        <v>1.8</v>
      </c>
      <c r="C40" s="5">
        <v>10.898305084745759</v>
      </c>
      <c r="F40" s="3" t="s">
        <v>34</v>
      </c>
      <c r="G40" s="11">
        <v>57.333333333333343</v>
      </c>
      <c r="H40" s="12">
        <v>1.8</v>
      </c>
      <c r="K40" s="3" t="s">
        <v>34</v>
      </c>
      <c r="L40" s="11">
        <v>57.333333333333343</v>
      </c>
      <c r="M40" s="5">
        <v>10.898305084745759</v>
      </c>
    </row>
    <row r="41" spans="1:13" x14ac:dyDescent="0.3">
      <c r="A41" s="3" t="s">
        <v>52</v>
      </c>
      <c r="B41" s="12">
        <v>2.2999999999999998</v>
      </c>
      <c r="C41" s="5">
        <v>13.69230769230769</v>
      </c>
      <c r="F41" s="3" t="s">
        <v>52</v>
      </c>
      <c r="G41" s="11">
        <v>41.176470588235297</v>
      </c>
      <c r="H41" s="12">
        <v>2.2999999999999998</v>
      </c>
      <c r="K41" s="3" t="s">
        <v>52</v>
      </c>
      <c r="L41" s="11">
        <v>41.176470588235297</v>
      </c>
      <c r="M41" s="5">
        <v>13.69230769230769</v>
      </c>
    </row>
    <row r="42" spans="1:13" x14ac:dyDescent="0.3">
      <c r="A42" s="3" t="s">
        <v>37</v>
      </c>
      <c r="B42" s="12">
        <v>3.2</v>
      </c>
      <c r="C42" s="5">
        <v>13.025</v>
      </c>
      <c r="F42" s="3" t="s">
        <v>37</v>
      </c>
      <c r="G42" s="11">
        <v>52.272727272727273</v>
      </c>
      <c r="H42" s="12">
        <v>3.2</v>
      </c>
      <c r="K42" s="3" t="s">
        <v>37</v>
      </c>
      <c r="L42" s="11">
        <v>52.272727272727273</v>
      </c>
      <c r="M42" s="5">
        <v>13.025</v>
      </c>
    </row>
    <row r="43" spans="1:13" x14ac:dyDescent="0.3">
      <c r="A43" s="3" t="s">
        <v>42</v>
      </c>
      <c r="B43" s="12">
        <v>4.7333333333333334</v>
      </c>
      <c r="C43" s="5">
        <v>9.24</v>
      </c>
      <c r="F43" s="3" t="s">
        <v>42</v>
      </c>
      <c r="G43" s="11">
        <v>68.253968253968253</v>
      </c>
      <c r="H43" s="12">
        <v>4.7333333333333334</v>
      </c>
      <c r="K43" s="3" t="s">
        <v>42</v>
      </c>
      <c r="L43" s="11">
        <v>68.253968253968253</v>
      </c>
      <c r="M43" s="5">
        <v>9.24</v>
      </c>
    </row>
    <row r="44" spans="1:13" x14ac:dyDescent="0.3">
      <c r="A44" s="3" t="s">
        <v>49</v>
      </c>
      <c r="B44" s="12">
        <v>5.7333333333333334</v>
      </c>
      <c r="C44" s="5">
        <v>20</v>
      </c>
      <c r="F44" s="3" t="s">
        <v>49</v>
      </c>
      <c r="G44" s="11">
        <v>61.904761904761912</v>
      </c>
      <c r="H44" s="12">
        <v>5.7333333333333334</v>
      </c>
      <c r="K44" s="3" t="s">
        <v>49</v>
      </c>
      <c r="L44" s="11">
        <v>61.904761904761912</v>
      </c>
      <c r="M44" s="5">
        <v>20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신연우</cp:lastModifiedBy>
  <dcterms:created xsi:type="dcterms:W3CDTF">2026-02-26T14:30:29Z</dcterms:created>
  <dcterms:modified xsi:type="dcterms:W3CDTF">2026-02-27T10:08:00Z</dcterms:modified>
</cp:coreProperties>
</file>